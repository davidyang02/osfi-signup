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For Review\new p3s\"/>
    </mc:Choice>
  </mc:AlternateContent>
  <xr:revisionPtr revIDLastSave="0" documentId="13_ncr:1_{2B9B9B3D-9693-483C-A77D-DC105C326742}" xr6:coauthVersionLast="47" xr6:coauthVersionMax="47" xr10:uidLastSave="{00000000-0000-0000-0000-000000000000}"/>
  <bookViews>
    <workbookView xWindow="-120" yWindow="-120" windowWidth="51840" windowHeight="21240" tabRatio="884" xr2:uid="{70109DD7-3C77-4638-B533-A8EE4B5BFFC8}"/>
  </bookViews>
  <sheets>
    <sheet name="IS - Output - Q3 - 2025" sheetId="133" r:id="rId1"/>
    <sheet name="IS - Output - Q2 - 2025" sheetId="135" r:id="rId2"/>
    <sheet name="IS - Output - Q1 - 2025" sheetId="137" r:id="rId3"/>
    <sheet name="IS - Output - Q4 - 2024" sheetId="139" r:id="rId4"/>
    <sheet name="IS - Output - Q3 - 2024" sheetId="141" r:id="rId5"/>
    <sheet name="IS - Output - Q2 - 2024" sheetId="143" r:id="rId6"/>
    <sheet name="IS - Output - Q1 - 2024" sheetId="145" r:id="rId7"/>
    <sheet name="IS - Output - Q4 - 2023" sheetId="147" r:id="rId8"/>
    <sheet name="IS - Output - Q3 - 2023" sheetId="149" r:id="rId9"/>
    <sheet name="IS - Output - Q2 - 2023" sheetId="151" r:id="rId10"/>
    <sheet name="IS - Output - Q1 - 2023" sheetId="153" r:id="rId11"/>
    <sheet name="IS - Output - Q4 - 2022" sheetId="155" r:id="rId12"/>
    <sheet name="IS - Output - Q3 - 2022" sheetId="157" r:id="rId13"/>
    <sheet name="IS - Output - Q2 - 2022" sheetId="159" r:id="rId14"/>
    <sheet name="IS - Output - Q1 - 2022" sheetId="161" r:id="rId15"/>
    <sheet name="IS - Output - Q4 - 2021" sheetId="163" r:id="rId16"/>
    <sheet name="IS - Output - Q3 - 2021" sheetId="165" r:id="rId17"/>
    <sheet name="IS - Output - Q2 - 2021" sheetId="167" r:id="rId18"/>
    <sheet name="IS - Output - Q1 - 2021" sheetId="169" r:id="rId19"/>
    <sheet name="IS - Output - Q4 - 2020" sheetId="171" r:id="rId20"/>
    <sheet name="IS - Output - Q3 - 2020" sheetId="173" r:id="rId21"/>
    <sheet name="IS - Output - Q2 - 2020" sheetId="175" r:id="rId22"/>
    <sheet name="IS - Output - Q1 - 2020" sheetId="177" r:id="rId2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IS_Map_Table">#REF!</definedName>
    <definedName name="_xlnm.Print_Area" localSheetId="22">'IS - Output - Q1 - 2020'!$A$1:$D$112</definedName>
    <definedName name="_xlnm.Print_Area" localSheetId="18">'IS - Output - Q1 - 2021'!$A$1:$D$112</definedName>
    <definedName name="_xlnm.Print_Area" localSheetId="14">'IS - Output - Q1 - 2022'!$A$1:$D$112</definedName>
    <definedName name="_xlnm.Print_Area" localSheetId="10">'IS - Output - Q1 - 2023'!$A$1:$D$112</definedName>
    <definedName name="_xlnm.Print_Area" localSheetId="6">'IS - Output - Q1 - 2024'!$A$1:$D$112</definedName>
    <definedName name="_xlnm.Print_Area" localSheetId="2">'IS - Output - Q1 - 2025'!$A$1:$D$112</definedName>
    <definedName name="_xlnm.Print_Area" localSheetId="21">'IS - Output - Q2 - 2020'!$A$1:$D$112</definedName>
    <definedName name="_xlnm.Print_Area" localSheetId="17">'IS - Output - Q2 - 2021'!$A$1:$D$112</definedName>
    <definedName name="_xlnm.Print_Area" localSheetId="13">'IS - Output - Q2 - 2022'!$A$1:$D$112</definedName>
    <definedName name="_xlnm.Print_Area" localSheetId="9">'IS - Output - Q2 - 2023'!$A$1:$D$112</definedName>
    <definedName name="_xlnm.Print_Area" localSheetId="5">'IS - Output - Q2 - 2024'!$A$1:$D$112</definedName>
    <definedName name="_xlnm.Print_Area" localSheetId="1">'IS - Output - Q2 - 2025'!$A$1:$D$112</definedName>
    <definedName name="_xlnm.Print_Area" localSheetId="20">'IS - Output - Q3 - 2020'!$A$1:$D$112</definedName>
    <definedName name="_xlnm.Print_Area" localSheetId="16">'IS - Output - Q3 - 2021'!$A$1:$D$112</definedName>
    <definedName name="_xlnm.Print_Area" localSheetId="12">'IS - Output - Q3 - 2022'!$A$1:$D$112</definedName>
    <definedName name="_xlnm.Print_Area" localSheetId="8">'IS - Output - Q3 - 2023'!$A$1:$D$112</definedName>
    <definedName name="_xlnm.Print_Area" localSheetId="4">'IS - Output - Q3 - 2024'!$A$1:$D$112</definedName>
    <definedName name="_xlnm.Print_Area" localSheetId="0">'IS - Output - Q3 - 2025'!$A$1:$D$112</definedName>
    <definedName name="_xlnm.Print_Area" localSheetId="19">'IS - Output - Q4 - 2020'!$A$1:$D$112</definedName>
    <definedName name="_xlnm.Print_Area" localSheetId="15">'IS - Output - Q4 - 2021'!$A$1:$D$112</definedName>
    <definedName name="_xlnm.Print_Area" localSheetId="11">'IS - Output - Q4 - 2022'!$A$1:$D$112</definedName>
    <definedName name="_xlnm.Print_Area" localSheetId="7">'IS - Output - Q4 - 2023'!$A$1:$D$112</definedName>
    <definedName name="_xlnm.Print_Area" localSheetId="3">'IS - Output - Q4 - 2024'!$A$1:$D$112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77" l="1"/>
  <c r="E30" i="175"/>
  <c r="E30" i="173"/>
  <c r="E30" i="171"/>
  <c r="E30" i="169"/>
  <c r="E30" i="167"/>
  <c r="E30" i="165"/>
  <c r="E30" i="163"/>
  <c r="E30" i="161"/>
  <c r="E30" i="159"/>
  <c r="E30" i="157"/>
  <c r="E30" i="155"/>
  <c r="E30" i="153"/>
  <c r="E30" i="151"/>
  <c r="E30" i="149"/>
  <c r="E30" i="147"/>
  <c r="E30" i="145"/>
  <c r="E30" i="143"/>
  <c r="E30" i="141"/>
  <c r="E30" i="139"/>
  <c r="E30" i="137"/>
  <c r="E30" i="135"/>
  <c r="E30" i="13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C07877-D547-448C-9D66-1C75B8C162C0}" keepAlive="1" name="Query - Table001 (Page 1-2)" description="Connection to the 'Table001 (Page 1-2)' query in the workbook." type="5" refreshedVersion="0" background="1">
    <dbPr connection="Provider=Microsoft.Mashup.OleDb.1;Data Source=$Workbook$;Location=&quot;Table001 (Page 1-2)&quot;;Extended Properties=&quot;&quot;" command="SELECT * FROM [Table001 (Page 1-2)]"/>
  </connection>
  <connection id="2" xr16:uid="{F7EAC241-749C-424C-B84B-EFC3CCA5EAF4}" keepAlive="1" name="Query - Table001 (Page 1-2) (2)" description="Connection to the 'Table001 (Page 1-2) (2)' query in the workbook." type="5" refreshedVersion="0" background="1">
    <dbPr connection="Provider=Microsoft.Mashup.OleDb.1;Data Source=$Workbook$;Location=&quot;Table001 (Page 1-2) (2)&quot;;Extended Properties=&quot;&quot;" command="SELECT * FROM [Table001 (Page 1-2) (2)]"/>
  </connection>
  <connection id="3" xr16:uid="{C7B3CAC9-A9E6-4911-BB27-97FFB352D300}" keepAlive="1" name="Query - Table002 (Page 2-3)" description="Connection to the 'Table002 (Page 2-3)' query in the workbook." type="5" refreshedVersion="4" background="1" saveData="1">
    <dbPr connection="Provider=Microsoft.Mashup.OleDb.1;Data Source=$Workbook$;Location=&quot;Table002 (Page 2-3)&quot;;Extended Properties=&quot;&quot;" command="SELECT * FROM [Table002 (Page 2-3)]"/>
  </connection>
</connections>
</file>

<file path=xl/sharedStrings.xml><?xml version="1.0" encoding="utf-8"?>
<sst xmlns="http://schemas.openxmlformats.org/spreadsheetml/2006/main" count="2512" uniqueCount="116">
  <si>
    <t>Interest and dividends income</t>
  </si>
  <si>
    <t>     Deposits with regulated financial institutions</t>
  </si>
  <si>
    <t>     Securities issued or guaranteed by Government of Canada, provinces, municipal or school</t>
  </si>
  <si>
    <t>     Other Securities</t>
  </si>
  <si>
    <t>     Loans</t>
  </si>
  <si>
    <t>          Non-mortgage loans</t>
  </si>
  <si>
    <t>               Individuals for non-business purposes</t>
  </si>
  <si>
    <t>               Others</t>
  </si>
  <si>
    <t>          Mortgages</t>
  </si>
  <si>
    <t>               Residential</t>
  </si>
  <si>
    <t>               Non-residential</t>
  </si>
  <si>
    <t>          Interest income on impaired loans</t>
  </si>
  <si>
    <t>     Other</t>
  </si>
  <si>
    <t>Total interest income</t>
  </si>
  <si>
    <t>Interest expense</t>
  </si>
  <si>
    <t>     Demand and notice deposits</t>
  </si>
  <si>
    <t>     Fixed term deposits</t>
  </si>
  <si>
    <t>     Subordinated debt</t>
  </si>
  <si>
    <t>Total interest expense</t>
  </si>
  <si>
    <t>Net interest income</t>
  </si>
  <si>
    <t>     Charge for impairment</t>
  </si>
  <si>
    <t>Net interest income after charge for impairment</t>
  </si>
  <si>
    <t>     Trading Income</t>
  </si>
  <si>
    <t>     Gains (Losses) on instruments held for other than trading purposes</t>
  </si>
  <si>
    <t>Other Income</t>
  </si>
  <si>
    <t>     Service charges on retail and commercial deposit accounts</t>
  </si>
  <si>
    <t>     Credit and debit card service fees</t>
  </si>
  <si>
    <t>     Mortgage, standby, commitment and other loan fees</t>
  </si>
  <si>
    <t>     Acceptance, guarantees and letter of credit fees</t>
  </si>
  <si>
    <t>     Investment management and custodial services</t>
  </si>
  <si>
    <t>     Mutual(investment) fund, underwriting on new issues and securities commissions and fees</t>
  </si>
  <si>
    <t>     Foreign exchange revenue other than trading</t>
  </si>
  <si>
    <t>     Insurance Service Result</t>
  </si>
  <si>
    <t>Total non-interest income</t>
  </si>
  <si>
    <t>Net interest and other income</t>
  </si>
  <si>
    <t>Non-interest expenses</t>
  </si>
  <si>
    <t>     Salaries, pensions and other staff benefits</t>
  </si>
  <si>
    <t>     Premises and equipment</t>
  </si>
  <si>
    <t>          Rental of real estate, premises, furniture &amp; fixtures</t>
  </si>
  <si>
    <t>          Computers &amp; equipment</t>
  </si>
  <si>
    <t>     Other expenses</t>
  </si>
  <si>
    <t>          Advertising, public relations &amp; business development</t>
  </si>
  <si>
    <t>          Office and general expenses</t>
  </si>
  <si>
    <t>          Capital and business taxes</t>
  </si>
  <si>
    <t>          Professional fees</t>
  </si>
  <si>
    <t>          Other</t>
  </si>
  <si>
    <t>Total non-interest expenses</t>
  </si>
  <si>
    <t>Net income before provision for income taxes</t>
  </si>
  <si>
    <t>Provision for income taxes</t>
  </si>
  <si>
    <t>     Current</t>
  </si>
  <si>
    <t>     Deferred</t>
  </si>
  <si>
    <t>Net income before discontinued operations</t>
  </si>
  <si>
    <t>     Discontinued operations</t>
  </si>
  <si>
    <t>Net income attributable to equity holders and non-controlling interests</t>
  </si>
  <si>
    <t>     Net income attributable to non-controlling interests</t>
  </si>
  <si>
    <t>     Net income attributable to equity holders</t>
  </si>
  <si>
    <t>SCHEDULE 1 - Comprehensive income (loss), attributable to equity holders and non-controlling interests, net of taxes</t>
  </si>
  <si>
    <t>Other Comprehensive Income (loss)</t>
  </si>
  <si>
    <t>     Items that may be reclassified subsequently to net income:</t>
  </si>
  <si>
    <t>          Securities classified as fair value through other comprehensive income</t>
  </si>
  <si>
    <t>               Change in unrealized gains and losses</t>
  </si>
  <si>
    <t>                    Equities (IAS 39)</t>
  </si>
  <si>
    <t>                    Debt</t>
  </si>
  <si>
    <t>                    Loans</t>
  </si>
  <si>
    <t>               Reclassification of (gains)/losses to net income</t>
  </si>
  <si>
    <t>          Derivatives designed as cash flow hedges</t>
  </si>
  <si>
    <t>          Foreign currency translation</t>
  </si>
  <si>
    <t>               Impact of hedging</t>
  </si>
  <si>
    <t>          Share of other comprehensive income (loss) of associates and joint ventures</t>
  </si>
  <si>
    <t>          Subtotal of items that may be reclassified subsequently to net income</t>
  </si>
  <si>
    <t>     Items that will not be reclassified to net income:</t>
  </si>
  <si>
    <t>          Change in investments in equity instruments designated at FVOCI (IFRS 9)</t>
  </si>
  <si>
    <t>          Remeasurements of defined benefit plans</t>
  </si>
  <si>
    <t>     Subtotal of items that will not be reclassified to net income</t>
  </si>
  <si>
    <t>Total other comprehensive income (loss)</t>
  </si>
  <si>
    <t>Total comprehensive income (loss)</t>
  </si>
  <si>
    <t>Attributable to:</t>
  </si>
  <si>
    <t>Equity holders of the bank</t>
  </si>
  <si>
    <t>Non-controlling interests</t>
  </si>
  <si>
    <t>SCHEDULE 2 - Accumulated other comprehensive income (loss), attributable to equity holders, net of taxes</t>
  </si>
  <si>
    <t>Accumulated gains (losses) on:</t>
  </si>
  <si>
    <t>               Equities (IAS 39)</t>
  </si>
  <si>
    <t>               Debt</t>
  </si>
  <si>
    <t>               Loans</t>
  </si>
  <si>
    <t>          Derivatives designed as cashflow hedges</t>
  </si>
  <si>
    <t>          Foreign currency translation, net of hedging activities</t>
  </si>
  <si>
    <t>     Subtotal of items that may be reclassified subsequently to net income</t>
  </si>
  <si>
    <t>Total</t>
  </si>
  <si>
    <t>Main Income Statement</t>
  </si>
  <si>
    <t>CONSOLIDATED STATEMENT OF COMPREHENSIVE INCOME</t>
  </si>
  <si>
    <t>(in thousands of dollars)</t>
  </si>
  <si>
    <t>Amex Bank of Canada</t>
  </si>
  <si>
    <t>-</t>
  </si>
  <si>
    <t>YTD Q3 - 2025</t>
  </si>
  <si>
    <t>YTD Q2 - 2025</t>
  </si>
  <si>
    <t>YTD Q1 - 2025</t>
  </si>
  <si>
    <t>YTD Q4 - 2024</t>
  </si>
  <si>
    <t>YTD Q3 - 2024</t>
  </si>
  <si>
    <t>YTD Q2 - 2024</t>
  </si>
  <si>
    <t>YTD Q1 - 2024</t>
  </si>
  <si>
    <t>YTD Q4 - 2023</t>
  </si>
  <si>
    <t>YTD Q3 - 2023</t>
  </si>
  <si>
    <t>YTD Q2 - 2023</t>
  </si>
  <si>
    <t>YTD Q1 - 2023</t>
  </si>
  <si>
    <t>YTD Q4 - 2022</t>
  </si>
  <si>
    <t>YTD Q3 - 2022</t>
  </si>
  <si>
    <t>YTD Q2 - 2022</t>
  </si>
  <si>
    <t>YTD Q1 - 2022</t>
  </si>
  <si>
    <t>YTD Q4 - 2021</t>
  </si>
  <si>
    <t>YTD Q3 - 2021</t>
  </si>
  <si>
    <t>YTD Q2 - 2021</t>
  </si>
  <si>
    <t>YTD Q1 - 2021</t>
  </si>
  <si>
    <t>YTD Q4 - 2020</t>
  </si>
  <si>
    <t>YTD Q3 - 2020</t>
  </si>
  <si>
    <t>YTD Q2 - 2020</t>
  </si>
  <si>
    <t>YTD Q1 - 2020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</si>
</sst>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27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sz val="11"/>
      <color theme="1"/>
      <name val="Aptos Narrow"/>
      <family val="2"/>
      <scheme val="minor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4"/>
      <color rgb="FF000080"/>
      <name val="Times New Roman"/>
      <family val="1"/>
    </font>
    <font>
      <b/>
      <sz val="23"/>
      <color rgb="FF000000"/>
      <name val="Times New Roman"/>
      <family val="1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ptos Narrow"/>
      <family val="2"/>
    </font>
    <font>
      <sz val="14"/>
      <color theme="1"/>
      <name val="Arial"/>
      <family val="2"/>
    </font>
    <font>
      <sz val="16"/>
      <color rgb="FF000080"/>
      <name val="Times New Roman"/>
      <family val="1"/>
    </font>
    <font>
      <sz val="16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2"/>
        <bgColor indexed="64"/>
      </patternFill>
    </fill>
    <fill>
      <patternFill patternType="solid">
        <fgColor rgb="FFCCEC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4" applyNumberFormat="0" applyAlignment="0" applyProtection="0"/>
    <xf numFmtId="0" fontId="5" fillId="28" borderId="5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4" applyNumberFormat="0" applyAlignment="0" applyProtection="0"/>
    <xf numFmtId="0" fontId="12" fillId="0" borderId="9" applyNumberFormat="0" applyFill="0" applyAlignment="0" applyProtection="0"/>
    <xf numFmtId="0" fontId="13" fillId="31" borderId="0" applyNumberFormat="0" applyBorder="0" applyAlignment="0" applyProtection="0"/>
    <xf numFmtId="0" fontId="14" fillId="0" borderId="0"/>
    <xf numFmtId="0" fontId="1" fillId="32" borderId="10" applyNumberFormat="0" applyFont="0" applyAlignment="0" applyProtection="0"/>
    <xf numFmtId="0" fontId="15" fillId="27" borderId="11" applyNumberFormat="0" applyAlignment="0" applyProtection="0"/>
    <xf numFmtId="0" fontId="16" fillId="0" borderId="0" applyNumberFormat="0" applyFill="0" applyBorder="0" applyAlignment="0" applyProtection="0"/>
    <xf numFmtId="0" fontId="17" fillId="0" borderId="12" applyNumberFormat="0" applyFill="0" applyAlignment="0" applyProtection="0"/>
    <xf numFmtId="0" fontId="18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quotePrefix="1"/>
    <xf numFmtId="0" fontId="19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0" fillId="0" borderId="0" xfId="0" applyFont="1" applyAlignment="1">
      <alignment horizontal="centerContinuous" vertical="center"/>
    </xf>
    <xf numFmtId="0" fontId="21" fillId="0" borderId="0" xfId="0" quotePrefix="1" applyFont="1" applyAlignment="1">
      <alignment vertical="center"/>
    </xf>
    <xf numFmtId="0" fontId="22" fillId="0" borderId="1" xfId="0" applyFont="1" applyBorder="1" applyAlignment="1">
      <alignment vertical="center"/>
    </xf>
    <xf numFmtId="0" fontId="23" fillId="0" borderId="2" xfId="0" applyFont="1" applyBorder="1" applyAlignment="1">
      <alignment horizontal="centerContinuous"/>
    </xf>
    <xf numFmtId="0" fontId="22" fillId="0" borderId="2" xfId="0" quotePrefix="1" applyFont="1" applyBorder="1" applyAlignment="1">
      <alignment vertical="center"/>
    </xf>
    <xf numFmtId="0" fontId="24" fillId="0" borderId="1" xfId="0" applyFont="1" applyBorder="1" applyAlignment="1">
      <alignment horizontal="left" vertical="center"/>
    </xf>
    <xf numFmtId="164" fontId="24" fillId="0" borderId="2" xfId="0" applyNumberFormat="1" applyFont="1" applyBorder="1" applyAlignment="1">
      <alignment horizontal="right" vertical="center"/>
    </xf>
    <xf numFmtId="0" fontId="24" fillId="0" borderId="1" xfId="0" applyFont="1" applyBorder="1" applyAlignment="1">
      <alignment vertical="center"/>
    </xf>
    <xf numFmtId="164" fontId="24" fillId="0" borderId="2" xfId="0" applyNumberFormat="1" applyFont="1" applyBorder="1" applyAlignment="1">
      <alignment vertical="center"/>
    </xf>
    <xf numFmtId="0" fontId="24" fillId="33" borderId="1" xfId="0" applyFont="1" applyFill="1" applyBorder="1" applyAlignment="1">
      <alignment horizontal="left" vertical="center"/>
    </xf>
    <xf numFmtId="164" fontId="24" fillId="33" borderId="2" xfId="0" applyNumberFormat="1" applyFont="1" applyFill="1" applyBorder="1" applyAlignment="1">
      <alignment horizontal="right" vertical="center"/>
    </xf>
    <xf numFmtId="164" fontId="22" fillId="0" borderId="2" xfId="0" applyNumberFormat="1" applyFont="1" applyBorder="1" applyAlignment="1">
      <alignment vertical="center"/>
    </xf>
    <xf numFmtId="0" fontId="22" fillId="34" borderId="1" xfId="0" applyFont="1" applyFill="1" applyBorder="1" applyAlignment="1">
      <alignment horizontal="left" vertical="center"/>
    </xf>
    <xf numFmtId="164" fontId="22" fillId="34" borderId="2" xfId="0" applyNumberFormat="1" applyFont="1" applyFill="1" applyBorder="1" applyAlignment="1">
      <alignment horizontal="right" vertical="center"/>
    </xf>
    <xf numFmtId="0" fontId="25" fillId="0" borderId="0" xfId="0" applyFont="1" applyAlignment="1">
      <alignment horizontal="centerContinuous" vertical="center"/>
    </xf>
    <xf numFmtId="0" fontId="26" fillId="0" borderId="0" xfId="0" applyFont="1" applyAlignment="1">
      <alignment horizontal="centerContinuous" vertical="center"/>
    </xf>
    <xf numFmtId="0" fontId="22" fillId="0" borderId="3" xfId="0" applyFont="1" applyBorder="1" applyAlignment="1">
      <alignment vertical="center"/>
    </xf>
    <xf numFmtId="0" fontId="24" fillId="0" borderId="3" xfId="0" applyFont="1" applyBorder="1" applyAlignment="1">
      <alignment horizontal="left" vertical="center"/>
    </xf>
    <xf numFmtId="0" fontId="24" fillId="0" borderId="3" xfId="0" applyFont="1" applyBorder="1" applyAlignment="1">
      <alignment vertical="center"/>
    </xf>
    <xf numFmtId="0" fontId="24" fillId="33" borderId="3" xfId="0" applyFont="1" applyFill="1" applyBorder="1" applyAlignment="1">
      <alignment horizontal="left" vertical="center"/>
    </xf>
    <xf numFmtId="0" fontId="22" fillId="34" borderId="3" xfId="0" applyFont="1" applyFill="1" applyBorder="1" applyAlignment="1">
      <alignment horizontal="left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6998DA2C-DDF5-44B2-B666-75788352A803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13BC2-81AA-4953-9801-7A39EF1EFE27}">
  <sheetPr codeName="Sheet5">
    <tabColor theme="1"/>
  </sheetPr>
  <dimension ref="B2:E112"/>
  <sheetViews>
    <sheetView showGridLines="0" tabSelected="1" view="pageBreakPreview" topLeftCell="A3" zoomScale="85" zoomScaleNormal="85" zoomScaleSheetLayoutView="85" workbookViewId="0">
      <selection activeCell="B3" sqref="B3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93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6777</v>
      </c>
    </row>
    <row r="9" spans="2:4" ht="18" x14ac:dyDescent="0.25">
      <c r="B9" s="9" t="s">
        <v>2</v>
      </c>
      <c r="C9" s="21"/>
      <c r="D9" s="10">
        <v>9316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428530</v>
      </c>
    </row>
    <row r="14" spans="2:4" ht="18" x14ac:dyDescent="0.25">
      <c r="B14" s="9" t="s">
        <v>7</v>
      </c>
      <c r="C14" s="21"/>
      <c r="D14" s="10">
        <v>1559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446182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5662</v>
      </c>
    </row>
    <row r="23" spans="2:5" ht="18" x14ac:dyDescent="0.25">
      <c r="B23" s="9" t="s">
        <v>16</v>
      </c>
      <c r="C23" s="21"/>
      <c r="D23" s="10">
        <v>0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211828</v>
      </c>
    </row>
    <row r="26" spans="2:5" ht="18" x14ac:dyDescent="0.25">
      <c r="B26" s="13" t="s">
        <v>18</v>
      </c>
      <c r="C26" s="23"/>
      <c r="D26" s="14">
        <v>217490</v>
      </c>
    </row>
    <row r="27" spans="2:5" ht="18" x14ac:dyDescent="0.25">
      <c r="B27" s="16" t="s">
        <v>19</v>
      </c>
      <c r="C27" s="24"/>
      <c r="D27" s="17">
        <v>228692</v>
      </c>
    </row>
    <row r="28" spans="2:5" ht="18" x14ac:dyDescent="0.25">
      <c r="B28" s="9" t="s">
        <v>20</v>
      </c>
      <c r="C28" s="21"/>
      <c r="D28" s="10">
        <v>60553</v>
      </c>
    </row>
    <row r="29" spans="2:5" ht="18" x14ac:dyDescent="0.25">
      <c r="B29" s="16" t="s">
        <v>21</v>
      </c>
      <c r="C29" s="24"/>
      <c r="D29" s="17">
        <v>168139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1282207</v>
      </c>
    </row>
    <row r="35" spans="2:4" ht="18" x14ac:dyDescent="0.25">
      <c r="B35" s="9" t="s">
        <v>27</v>
      </c>
      <c r="C35" s="21"/>
      <c r="D35" s="10">
        <v>0</v>
      </c>
    </row>
    <row r="36" spans="2:4" ht="18" x14ac:dyDescent="0.25">
      <c r="B36" s="9" t="s">
        <v>28</v>
      </c>
      <c r="C36" s="21"/>
      <c r="D36" s="10">
        <v>0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0</v>
      </c>
    </row>
    <row r="40" spans="2:4" ht="18" x14ac:dyDescent="0.25">
      <c r="B40" s="9" t="s">
        <v>32</v>
      </c>
      <c r="C40" s="21"/>
      <c r="D40" s="10">
        <v>0</v>
      </c>
    </row>
    <row r="41" spans="2:4" ht="18" x14ac:dyDescent="0.25">
      <c r="B41" s="9" t="s">
        <v>12</v>
      </c>
      <c r="C41" s="21"/>
      <c r="D41" s="10">
        <v>25763</v>
      </c>
    </row>
    <row r="42" spans="2:4" ht="18" x14ac:dyDescent="0.25">
      <c r="B42" s="13" t="s">
        <v>33</v>
      </c>
      <c r="C42" s="23"/>
      <c r="D42" s="14">
        <v>1307970</v>
      </c>
    </row>
    <row r="43" spans="2:4" ht="18" x14ac:dyDescent="0.25">
      <c r="B43" s="16" t="s">
        <v>34</v>
      </c>
      <c r="C43" s="24"/>
      <c r="D43" s="17">
        <v>1476109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99580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595</v>
      </c>
    </row>
    <row r="49" spans="2:4" ht="18" x14ac:dyDescent="0.25">
      <c r="B49" s="9" t="s">
        <v>39</v>
      </c>
      <c r="C49" s="21"/>
      <c r="D49" s="10">
        <v>1056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205472</v>
      </c>
    </row>
    <row r="52" spans="2:4" ht="18" x14ac:dyDescent="0.25">
      <c r="B52" s="9" t="s">
        <v>42</v>
      </c>
      <c r="C52" s="21"/>
      <c r="D52" s="10">
        <v>11559</v>
      </c>
    </row>
    <row r="53" spans="2:4" ht="18" x14ac:dyDescent="0.25">
      <c r="B53" s="9" t="s">
        <v>43</v>
      </c>
      <c r="C53" s="21"/>
      <c r="D53" s="10">
        <v>23799</v>
      </c>
    </row>
    <row r="54" spans="2:4" ht="18" x14ac:dyDescent="0.25">
      <c r="B54" s="9" t="s">
        <v>44</v>
      </c>
      <c r="C54" s="21"/>
      <c r="D54" s="10">
        <v>3688</v>
      </c>
    </row>
    <row r="55" spans="2:4" ht="18" x14ac:dyDescent="0.25">
      <c r="B55" s="9" t="s">
        <v>45</v>
      </c>
      <c r="C55" s="21"/>
      <c r="D55" s="10">
        <v>1053044</v>
      </c>
    </row>
    <row r="56" spans="2:4" ht="18" x14ac:dyDescent="0.25">
      <c r="B56" s="13" t="s">
        <v>46</v>
      </c>
      <c r="C56" s="23"/>
      <c r="D56" s="14">
        <v>1398793</v>
      </c>
    </row>
    <row r="57" spans="2:4" ht="18" x14ac:dyDescent="0.25">
      <c r="B57" s="16" t="s">
        <v>47</v>
      </c>
      <c r="C57" s="24"/>
      <c r="D57" s="17">
        <v>77316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22257</v>
      </c>
    </row>
    <row r="60" spans="2:4" ht="18" x14ac:dyDescent="0.25">
      <c r="B60" s="9" t="s">
        <v>50</v>
      </c>
      <c r="C60" s="21"/>
      <c r="D60" s="10">
        <v>0</v>
      </c>
    </row>
    <row r="61" spans="2:4" ht="18" x14ac:dyDescent="0.25">
      <c r="B61" s="16" t="s">
        <v>51</v>
      </c>
      <c r="C61" s="24"/>
      <c r="D61" s="17">
        <v>55059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55059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55059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55059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-285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-2133</v>
      </c>
    </row>
    <row r="85" spans="2:4" ht="18" x14ac:dyDescent="0.25">
      <c r="B85" s="13" t="s">
        <v>69</v>
      </c>
      <c r="C85" s="23"/>
      <c r="D85" s="14">
        <v>-2418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-2418</v>
      </c>
    </row>
    <row r="92" spans="2:4" ht="18" x14ac:dyDescent="0.25">
      <c r="B92" s="16" t="s">
        <v>75</v>
      </c>
      <c r="C92" s="24"/>
      <c r="D92" s="17">
        <v>52641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52641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30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-1754</v>
      </c>
    </row>
    <row r="108" spans="2:4" ht="18" x14ac:dyDescent="0.25">
      <c r="B108" s="13" t="s">
        <v>86</v>
      </c>
      <c r="C108" s="23"/>
      <c r="D108" s="14">
        <v>-1724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-233</v>
      </c>
    </row>
    <row r="111" spans="2:4" ht="18" x14ac:dyDescent="0.25">
      <c r="B111" s="13" t="s">
        <v>73</v>
      </c>
      <c r="C111" s="23"/>
      <c r="D111" s="14">
        <v>-233</v>
      </c>
    </row>
    <row r="112" spans="2:4" ht="18" x14ac:dyDescent="0.25">
      <c r="B112" s="16" t="s">
        <v>87</v>
      </c>
      <c r="C112" s="24"/>
      <c r="D112" s="17">
        <v>-1957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F1C4F-65F2-42C3-90AE-3BC4F4AE4190}">
  <sheetPr codeName="Sheet7">
    <tabColor theme="1"/>
  </sheetPr>
  <dimension ref="B2:E112"/>
  <sheetViews>
    <sheetView showGridLines="0" view="pageBreakPreview" topLeftCell="A24" zoomScale="70" zoomScaleNormal="85" workbookViewId="0">
      <selection activeCell="C1" sqref="C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94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4666</v>
      </c>
    </row>
    <row r="9" spans="2:4" ht="18" x14ac:dyDescent="0.25">
      <c r="B9" s="9" t="s">
        <v>2</v>
      </c>
      <c r="C9" s="21"/>
      <c r="D9" s="10">
        <v>6584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280430</v>
      </c>
    </row>
    <row r="14" spans="2:4" ht="18" x14ac:dyDescent="0.25">
      <c r="B14" s="9" t="s">
        <v>7</v>
      </c>
      <c r="C14" s="21"/>
      <c r="D14" s="10">
        <v>1216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292896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4249</v>
      </c>
    </row>
    <row r="23" spans="2:5" ht="18" x14ac:dyDescent="0.25">
      <c r="B23" s="9" t="s">
        <v>16</v>
      </c>
      <c r="C23" s="21"/>
      <c r="D23" s="10">
        <v>0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137573</v>
      </c>
    </row>
    <row r="26" spans="2:5" ht="18" x14ac:dyDescent="0.25">
      <c r="B26" s="13" t="s">
        <v>18</v>
      </c>
      <c r="C26" s="23"/>
      <c r="D26" s="14">
        <v>141822</v>
      </c>
    </row>
    <row r="27" spans="2:5" ht="18" x14ac:dyDescent="0.25">
      <c r="B27" s="16" t="s">
        <v>19</v>
      </c>
      <c r="C27" s="24"/>
      <c r="D27" s="17">
        <v>151074</v>
      </c>
    </row>
    <row r="28" spans="2:5" ht="18" x14ac:dyDescent="0.25">
      <c r="B28" s="9" t="s">
        <v>20</v>
      </c>
      <c r="C28" s="21"/>
      <c r="D28" s="10">
        <v>44196</v>
      </c>
    </row>
    <row r="29" spans="2:5" ht="18" x14ac:dyDescent="0.25">
      <c r="B29" s="16" t="s">
        <v>21</v>
      </c>
      <c r="C29" s="24"/>
      <c r="D29" s="17">
        <v>106878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821590</v>
      </c>
    </row>
    <row r="35" spans="2:4" ht="18" x14ac:dyDescent="0.25">
      <c r="B35" s="9" t="s">
        <v>27</v>
      </c>
      <c r="C35" s="21"/>
      <c r="D35" s="10">
        <v>0</v>
      </c>
    </row>
    <row r="36" spans="2:4" ht="18" x14ac:dyDescent="0.25">
      <c r="B36" s="9" t="s">
        <v>28</v>
      </c>
      <c r="C36" s="21"/>
      <c r="D36" s="10">
        <v>0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0</v>
      </c>
    </row>
    <row r="40" spans="2:4" ht="18" x14ac:dyDescent="0.25">
      <c r="B40" s="9" t="s">
        <v>32</v>
      </c>
      <c r="C40" s="21"/>
      <c r="D40" s="10">
        <v>0</v>
      </c>
    </row>
    <row r="41" spans="2:4" ht="18" x14ac:dyDescent="0.25">
      <c r="B41" s="9" t="s">
        <v>12</v>
      </c>
      <c r="C41" s="21"/>
      <c r="D41" s="10">
        <v>9900</v>
      </c>
    </row>
    <row r="42" spans="2:4" ht="18" x14ac:dyDescent="0.25">
      <c r="B42" s="13" t="s">
        <v>33</v>
      </c>
      <c r="C42" s="23"/>
      <c r="D42" s="14">
        <v>831490</v>
      </c>
    </row>
    <row r="43" spans="2:4" ht="18" x14ac:dyDescent="0.25">
      <c r="B43" s="16" t="s">
        <v>34</v>
      </c>
      <c r="C43" s="24"/>
      <c r="D43" s="17">
        <v>938368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64943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397</v>
      </c>
    </row>
    <row r="49" spans="2:4" ht="18" x14ac:dyDescent="0.25">
      <c r="B49" s="9" t="s">
        <v>39</v>
      </c>
      <c r="C49" s="21"/>
      <c r="D49" s="10">
        <v>718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125230</v>
      </c>
    </row>
    <row r="52" spans="2:4" ht="18" x14ac:dyDescent="0.25">
      <c r="B52" s="9" t="s">
        <v>42</v>
      </c>
      <c r="C52" s="21"/>
      <c r="D52" s="10">
        <v>8294</v>
      </c>
    </row>
    <row r="53" spans="2:4" ht="18" x14ac:dyDescent="0.25">
      <c r="B53" s="9" t="s">
        <v>43</v>
      </c>
      <c r="C53" s="21"/>
      <c r="D53" s="10">
        <v>15452</v>
      </c>
    </row>
    <row r="54" spans="2:4" ht="18" x14ac:dyDescent="0.25">
      <c r="B54" s="9" t="s">
        <v>44</v>
      </c>
      <c r="C54" s="21"/>
      <c r="D54" s="10">
        <v>2302</v>
      </c>
    </row>
    <row r="55" spans="2:4" ht="18" x14ac:dyDescent="0.25">
      <c r="B55" s="9" t="s">
        <v>45</v>
      </c>
      <c r="C55" s="21"/>
      <c r="D55" s="10">
        <v>681492</v>
      </c>
    </row>
    <row r="56" spans="2:4" ht="18" x14ac:dyDescent="0.25">
      <c r="B56" s="13" t="s">
        <v>46</v>
      </c>
      <c r="C56" s="23"/>
      <c r="D56" s="14">
        <v>898828</v>
      </c>
    </row>
    <row r="57" spans="2:4" ht="18" x14ac:dyDescent="0.25">
      <c r="B57" s="16" t="s">
        <v>47</v>
      </c>
      <c r="C57" s="24"/>
      <c r="D57" s="17">
        <v>39540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11699</v>
      </c>
    </row>
    <row r="60" spans="2:4" ht="18" x14ac:dyDescent="0.25">
      <c r="B60" s="9" t="s">
        <v>50</v>
      </c>
      <c r="C60" s="21"/>
      <c r="D60" s="10">
        <v>0</v>
      </c>
    </row>
    <row r="61" spans="2:4" ht="18" x14ac:dyDescent="0.25">
      <c r="B61" s="16" t="s">
        <v>51</v>
      </c>
      <c r="C61" s="24"/>
      <c r="D61" s="17">
        <v>27841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27841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27841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27841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-325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-1939</v>
      </c>
    </row>
    <row r="85" spans="2:4" ht="18" x14ac:dyDescent="0.25">
      <c r="B85" s="13" t="s">
        <v>69</v>
      </c>
      <c r="C85" s="23"/>
      <c r="D85" s="14">
        <v>-2264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-2264</v>
      </c>
    </row>
    <row r="92" spans="2:4" ht="18" x14ac:dyDescent="0.25">
      <c r="B92" s="16" t="s">
        <v>75</v>
      </c>
      <c r="C92" s="24"/>
      <c r="D92" s="17">
        <v>25577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25577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-10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-1560</v>
      </c>
    </row>
    <row r="108" spans="2:4" ht="18" x14ac:dyDescent="0.25">
      <c r="B108" s="13" t="s">
        <v>86</v>
      </c>
      <c r="C108" s="23"/>
      <c r="D108" s="14">
        <v>-1570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-233</v>
      </c>
    </row>
    <row r="111" spans="2:4" ht="18" x14ac:dyDescent="0.25">
      <c r="B111" s="13" t="s">
        <v>73</v>
      </c>
      <c r="C111" s="23"/>
      <c r="D111" s="14">
        <v>-233</v>
      </c>
    </row>
    <row r="112" spans="2:4" ht="18" x14ac:dyDescent="0.25">
      <c r="B112" s="16" t="s">
        <v>87</v>
      </c>
      <c r="C112" s="24"/>
      <c r="D112" s="17">
        <v>-1803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F7C67-EE89-49BC-A161-F1F2EDC76E6D}">
  <sheetPr codeName="Sheet9">
    <tabColor theme="1"/>
  </sheetPr>
  <dimension ref="B2:E112"/>
  <sheetViews>
    <sheetView showGridLines="0" view="pageBreakPreview" topLeftCell="A24" zoomScale="70" zoomScaleNormal="85" workbookViewId="0">
      <selection activeCell="C1" sqref="C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95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2777</v>
      </c>
    </row>
    <row r="9" spans="2:4" ht="18" x14ac:dyDescent="0.25">
      <c r="B9" s="9" t="s">
        <v>2</v>
      </c>
      <c r="C9" s="21"/>
      <c r="D9" s="10">
        <v>3724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141438</v>
      </c>
    </row>
    <row r="14" spans="2:4" ht="18" x14ac:dyDescent="0.25">
      <c r="B14" s="9" t="s">
        <v>7</v>
      </c>
      <c r="C14" s="21"/>
      <c r="D14" s="10">
        <v>694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148633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2389</v>
      </c>
    </row>
    <row r="23" spans="2:5" ht="18" x14ac:dyDescent="0.25">
      <c r="B23" s="9" t="s">
        <v>16</v>
      </c>
      <c r="C23" s="21"/>
      <c r="D23" s="10">
        <v>0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66900</v>
      </c>
    </row>
    <row r="26" spans="2:5" ht="18" x14ac:dyDescent="0.25">
      <c r="B26" s="13" t="s">
        <v>18</v>
      </c>
      <c r="C26" s="23"/>
      <c r="D26" s="14">
        <v>69289</v>
      </c>
    </row>
    <row r="27" spans="2:5" ht="18" x14ac:dyDescent="0.25">
      <c r="B27" s="16" t="s">
        <v>19</v>
      </c>
      <c r="C27" s="24"/>
      <c r="D27" s="17">
        <v>79344</v>
      </c>
    </row>
    <row r="28" spans="2:5" ht="18" x14ac:dyDescent="0.25">
      <c r="B28" s="9" t="s">
        <v>20</v>
      </c>
      <c r="C28" s="21"/>
      <c r="D28" s="10">
        <v>17234</v>
      </c>
    </row>
    <row r="29" spans="2:5" ht="18" x14ac:dyDescent="0.25">
      <c r="B29" s="16" t="s">
        <v>21</v>
      </c>
      <c r="C29" s="24"/>
      <c r="D29" s="17">
        <v>62110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390637</v>
      </c>
    </row>
    <row r="35" spans="2:4" ht="18" x14ac:dyDescent="0.25">
      <c r="B35" s="9" t="s">
        <v>27</v>
      </c>
      <c r="C35" s="21"/>
      <c r="D35" s="10">
        <v>0</v>
      </c>
    </row>
    <row r="36" spans="2:4" ht="18" x14ac:dyDescent="0.25">
      <c r="B36" s="9" t="s">
        <v>28</v>
      </c>
      <c r="C36" s="21"/>
      <c r="D36" s="10">
        <v>0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0</v>
      </c>
    </row>
    <row r="40" spans="2:4" ht="18" x14ac:dyDescent="0.25">
      <c r="B40" s="9" t="s">
        <v>32</v>
      </c>
      <c r="C40" s="21"/>
      <c r="D40" s="10">
        <v>0</v>
      </c>
    </row>
    <row r="41" spans="2:4" ht="18" x14ac:dyDescent="0.25">
      <c r="B41" s="9" t="s">
        <v>12</v>
      </c>
      <c r="C41" s="21"/>
      <c r="D41" s="10">
        <v>4792</v>
      </c>
    </row>
    <row r="42" spans="2:4" ht="18" x14ac:dyDescent="0.25">
      <c r="B42" s="13" t="s">
        <v>33</v>
      </c>
      <c r="C42" s="23"/>
      <c r="D42" s="14">
        <v>395429</v>
      </c>
    </row>
    <row r="43" spans="2:4" ht="18" x14ac:dyDescent="0.25">
      <c r="B43" s="16" t="s">
        <v>34</v>
      </c>
      <c r="C43" s="24"/>
      <c r="D43" s="17">
        <v>457539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31861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150</v>
      </c>
    </row>
    <row r="49" spans="2:4" ht="18" x14ac:dyDescent="0.25">
      <c r="B49" s="9" t="s">
        <v>39</v>
      </c>
      <c r="C49" s="21"/>
      <c r="D49" s="10">
        <v>339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64270</v>
      </c>
    </row>
    <row r="52" spans="2:4" ht="18" x14ac:dyDescent="0.25">
      <c r="B52" s="9" t="s">
        <v>42</v>
      </c>
      <c r="C52" s="21"/>
      <c r="D52" s="10">
        <v>3408</v>
      </c>
    </row>
    <row r="53" spans="2:4" ht="18" x14ac:dyDescent="0.25">
      <c r="B53" s="9" t="s">
        <v>43</v>
      </c>
      <c r="C53" s="21"/>
      <c r="D53" s="10">
        <v>8142</v>
      </c>
    </row>
    <row r="54" spans="2:4" ht="18" x14ac:dyDescent="0.25">
      <c r="B54" s="9" t="s">
        <v>44</v>
      </c>
      <c r="C54" s="21"/>
      <c r="D54" s="10">
        <v>735</v>
      </c>
    </row>
    <row r="55" spans="2:4" ht="18" x14ac:dyDescent="0.25">
      <c r="B55" s="9" t="s">
        <v>45</v>
      </c>
      <c r="C55" s="21"/>
      <c r="D55" s="10">
        <v>328449</v>
      </c>
    </row>
    <row r="56" spans="2:4" ht="18" x14ac:dyDescent="0.25">
      <c r="B56" s="13" t="s">
        <v>46</v>
      </c>
      <c r="C56" s="23"/>
      <c r="D56" s="14">
        <v>437354</v>
      </c>
    </row>
    <row r="57" spans="2:4" ht="18" x14ac:dyDescent="0.25">
      <c r="B57" s="16" t="s">
        <v>47</v>
      </c>
      <c r="C57" s="24"/>
      <c r="D57" s="17">
        <v>20185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5798</v>
      </c>
    </row>
    <row r="60" spans="2:4" ht="18" x14ac:dyDescent="0.25">
      <c r="B60" s="9" t="s">
        <v>50</v>
      </c>
      <c r="C60" s="21"/>
      <c r="D60" s="10">
        <v>0</v>
      </c>
    </row>
    <row r="61" spans="2:4" ht="18" x14ac:dyDescent="0.25">
      <c r="B61" s="16" t="s">
        <v>51</v>
      </c>
      <c r="C61" s="24"/>
      <c r="D61" s="17">
        <v>14387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14387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14387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14387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-133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-1015</v>
      </c>
    </row>
    <row r="85" spans="2:4" ht="18" x14ac:dyDescent="0.25">
      <c r="B85" s="13" t="s">
        <v>69</v>
      </c>
      <c r="C85" s="23"/>
      <c r="D85" s="14">
        <v>-1148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-1148</v>
      </c>
    </row>
    <row r="92" spans="2:4" ht="18" x14ac:dyDescent="0.25">
      <c r="B92" s="16" t="s">
        <v>75</v>
      </c>
      <c r="C92" s="24"/>
      <c r="D92" s="17">
        <v>13239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13239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182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-637</v>
      </c>
    </row>
    <row r="108" spans="2:4" ht="18" x14ac:dyDescent="0.25">
      <c r="B108" s="13" t="s">
        <v>86</v>
      </c>
      <c r="C108" s="23"/>
      <c r="D108" s="14">
        <v>-455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-233</v>
      </c>
    </row>
    <row r="111" spans="2:4" ht="18" x14ac:dyDescent="0.25">
      <c r="B111" s="13" t="s">
        <v>73</v>
      </c>
      <c r="C111" s="23"/>
      <c r="D111" s="14">
        <v>-233</v>
      </c>
    </row>
    <row r="112" spans="2:4" ht="18" x14ac:dyDescent="0.25">
      <c r="B112" s="16" t="s">
        <v>87</v>
      </c>
      <c r="C112" s="24"/>
      <c r="D112" s="17">
        <v>-688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0EA72-E261-465F-A621-906F0AD020D2}">
  <sheetPr codeName="Sheet11">
    <tabColor theme="1"/>
  </sheetPr>
  <dimension ref="B2:E112"/>
  <sheetViews>
    <sheetView showGridLines="0" view="pageBreakPreview" topLeftCell="A24" zoomScale="70" zoomScaleNormal="85" workbookViewId="0">
      <selection activeCell="C1" sqref="C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96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10488</v>
      </c>
    </row>
    <row r="9" spans="2:4" ht="18" x14ac:dyDescent="0.25">
      <c r="B9" s="9" t="s">
        <v>2</v>
      </c>
      <c r="C9" s="21"/>
      <c r="D9" s="10">
        <v>18614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507466</v>
      </c>
    </row>
    <row r="14" spans="2:4" ht="18" x14ac:dyDescent="0.25">
      <c r="B14" s="9" t="s">
        <v>7</v>
      </c>
      <c r="C14" s="21"/>
      <c r="D14" s="10">
        <v>4973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541541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16897</v>
      </c>
    </row>
    <row r="23" spans="2:5" ht="18" x14ac:dyDescent="0.25">
      <c r="B23" s="9" t="s">
        <v>16</v>
      </c>
      <c r="C23" s="21"/>
      <c r="D23" s="10">
        <v>0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309700</v>
      </c>
    </row>
    <row r="26" spans="2:5" ht="18" x14ac:dyDescent="0.25">
      <c r="B26" s="13" t="s">
        <v>18</v>
      </c>
      <c r="C26" s="23"/>
      <c r="D26" s="14">
        <v>326597</v>
      </c>
    </row>
    <row r="27" spans="2:5" ht="18" x14ac:dyDescent="0.25">
      <c r="B27" s="16" t="s">
        <v>19</v>
      </c>
      <c r="C27" s="24"/>
      <c r="D27" s="17">
        <v>214944</v>
      </c>
    </row>
    <row r="28" spans="2:5" ht="18" x14ac:dyDescent="0.25">
      <c r="B28" s="9" t="s">
        <v>20</v>
      </c>
      <c r="C28" s="21"/>
      <c r="D28" s="10">
        <v>55424</v>
      </c>
    </row>
    <row r="29" spans="2:5" ht="18" x14ac:dyDescent="0.25">
      <c r="B29" s="16" t="s">
        <v>21</v>
      </c>
      <c r="C29" s="24"/>
      <c r="D29" s="17">
        <v>159520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1539346</v>
      </c>
    </row>
    <row r="35" spans="2:4" ht="18" x14ac:dyDescent="0.25">
      <c r="B35" s="9" t="s">
        <v>27</v>
      </c>
      <c r="C35" s="21"/>
      <c r="D35" s="10">
        <v>0</v>
      </c>
    </row>
    <row r="36" spans="2:4" ht="18" x14ac:dyDescent="0.25">
      <c r="B36" s="9" t="s">
        <v>28</v>
      </c>
      <c r="C36" s="21"/>
      <c r="D36" s="10">
        <v>0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0</v>
      </c>
    </row>
    <row r="40" spans="2:4" ht="18" x14ac:dyDescent="0.25">
      <c r="B40" s="9" t="s">
        <v>32</v>
      </c>
      <c r="C40" s="21"/>
      <c r="D40" s="10">
        <v>0</v>
      </c>
    </row>
    <row r="41" spans="2:4" ht="18" x14ac:dyDescent="0.25">
      <c r="B41" s="9" t="s">
        <v>12</v>
      </c>
      <c r="C41" s="21"/>
      <c r="D41" s="10">
        <v>24565</v>
      </c>
    </row>
    <row r="42" spans="2:4" ht="18" x14ac:dyDescent="0.25">
      <c r="B42" s="13" t="s">
        <v>33</v>
      </c>
      <c r="C42" s="23"/>
      <c r="D42" s="14">
        <v>1563911</v>
      </c>
    </row>
    <row r="43" spans="2:4" ht="18" x14ac:dyDescent="0.25">
      <c r="B43" s="16" t="s">
        <v>34</v>
      </c>
      <c r="C43" s="24"/>
      <c r="D43" s="17">
        <v>1723431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132710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1237</v>
      </c>
    </row>
    <row r="49" spans="2:4" ht="18" x14ac:dyDescent="0.25">
      <c r="B49" s="9" t="s">
        <v>39</v>
      </c>
      <c r="C49" s="21"/>
      <c r="D49" s="10">
        <v>1608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239180</v>
      </c>
    </row>
    <row r="52" spans="2:4" ht="18" x14ac:dyDescent="0.25">
      <c r="B52" s="9" t="s">
        <v>42</v>
      </c>
      <c r="C52" s="21"/>
      <c r="D52" s="10">
        <v>6985</v>
      </c>
    </row>
    <row r="53" spans="2:4" ht="18" x14ac:dyDescent="0.25">
      <c r="B53" s="9" t="s">
        <v>43</v>
      </c>
      <c r="C53" s="21"/>
      <c r="D53" s="10">
        <v>28272</v>
      </c>
    </row>
    <row r="54" spans="2:4" ht="18" x14ac:dyDescent="0.25">
      <c r="B54" s="9" t="s">
        <v>44</v>
      </c>
      <c r="C54" s="21"/>
      <c r="D54" s="10">
        <v>7657</v>
      </c>
    </row>
    <row r="55" spans="2:4" ht="18" x14ac:dyDescent="0.25">
      <c r="B55" s="9" t="s">
        <v>45</v>
      </c>
      <c r="C55" s="21"/>
      <c r="D55" s="10">
        <v>1269851</v>
      </c>
    </row>
    <row r="56" spans="2:4" ht="18" x14ac:dyDescent="0.25">
      <c r="B56" s="13" t="s">
        <v>46</v>
      </c>
      <c r="C56" s="23"/>
      <c r="D56" s="14">
        <v>1687500</v>
      </c>
    </row>
    <row r="57" spans="2:4" ht="18" x14ac:dyDescent="0.25">
      <c r="B57" s="16" t="s">
        <v>47</v>
      </c>
      <c r="C57" s="24"/>
      <c r="D57" s="17">
        <v>35931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12206</v>
      </c>
    </row>
    <row r="60" spans="2:4" ht="18" x14ac:dyDescent="0.25">
      <c r="B60" s="9" t="s">
        <v>50</v>
      </c>
      <c r="C60" s="21"/>
      <c r="D60" s="10">
        <v>0</v>
      </c>
    </row>
    <row r="61" spans="2:4" ht="18" x14ac:dyDescent="0.25">
      <c r="B61" s="16" t="s">
        <v>51</v>
      </c>
      <c r="C61" s="24"/>
      <c r="D61" s="17">
        <v>23725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23725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23725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23725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367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3363</v>
      </c>
    </row>
    <row r="85" spans="2:4" ht="18" x14ac:dyDescent="0.25">
      <c r="B85" s="13" t="s">
        <v>69</v>
      </c>
      <c r="C85" s="23"/>
      <c r="D85" s="14">
        <v>3730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-6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-6</v>
      </c>
    </row>
    <row r="91" spans="2:4" ht="18" x14ac:dyDescent="0.25">
      <c r="B91" s="16" t="s">
        <v>74</v>
      </c>
      <c r="C91" s="24"/>
      <c r="D91" s="17">
        <v>3724</v>
      </c>
    </row>
    <row r="92" spans="2:4" ht="18" x14ac:dyDescent="0.25">
      <c r="B92" s="16" t="s">
        <v>75</v>
      </c>
      <c r="C92" s="24"/>
      <c r="D92" s="17">
        <v>27449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27449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315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379</v>
      </c>
    </row>
    <row r="108" spans="2:4" ht="18" x14ac:dyDescent="0.25">
      <c r="B108" s="13" t="s">
        <v>86</v>
      </c>
      <c r="C108" s="23"/>
      <c r="D108" s="14">
        <v>694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-233</v>
      </c>
    </row>
    <row r="111" spans="2:4" ht="18" x14ac:dyDescent="0.25">
      <c r="B111" s="13" t="s">
        <v>73</v>
      </c>
      <c r="C111" s="23"/>
      <c r="D111" s="14">
        <v>-233</v>
      </c>
    </row>
    <row r="112" spans="2:4" ht="18" x14ac:dyDescent="0.25">
      <c r="B112" s="16" t="s">
        <v>87</v>
      </c>
      <c r="C112" s="24"/>
      <c r="D112" s="17">
        <v>461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154EB-433B-4206-A27D-7EF1E6FFCE98}">
  <sheetPr codeName="Sheet13">
    <tabColor theme="1"/>
  </sheetPr>
  <dimension ref="B2:E112"/>
  <sheetViews>
    <sheetView showGridLines="0" view="pageBreakPreview" topLeftCell="A24" zoomScale="70" zoomScaleNormal="85" workbookViewId="0">
      <selection activeCell="C1" sqref="C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97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8018</v>
      </c>
    </row>
    <row r="9" spans="2:4" ht="18" x14ac:dyDescent="0.25">
      <c r="B9" s="9" t="s">
        <v>2</v>
      </c>
      <c r="C9" s="21"/>
      <c r="D9" s="10">
        <v>14074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370517</v>
      </c>
    </row>
    <row r="14" spans="2:4" ht="18" x14ac:dyDescent="0.25">
      <c r="B14" s="9" t="s">
        <v>7</v>
      </c>
      <c r="C14" s="21"/>
      <c r="D14" s="10">
        <v>3973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396582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13163</v>
      </c>
    </row>
    <row r="23" spans="2:5" ht="18" x14ac:dyDescent="0.25">
      <c r="B23" s="9" t="s">
        <v>16</v>
      </c>
      <c r="C23" s="21"/>
      <c r="D23" s="10">
        <v>0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229450</v>
      </c>
    </row>
    <row r="26" spans="2:5" ht="18" x14ac:dyDescent="0.25">
      <c r="B26" s="13" t="s">
        <v>18</v>
      </c>
      <c r="C26" s="23"/>
      <c r="D26" s="14">
        <v>242613</v>
      </c>
    </row>
    <row r="27" spans="2:5" ht="18" x14ac:dyDescent="0.25">
      <c r="B27" s="16" t="s">
        <v>19</v>
      </c>
      <c r="C27" s="24"/>
      <c r="D27" s="17">
        <v>153969</v>
      </c>
    </row>
    <row r="28" spans="2:5" ht="18" x14ac:dyDescent="0.25">
      <c r="B28" s="9" t="s">
        <v>20</v>
      </c>
      <c r="C28" s="21"/>
      <c r="D28" s="10">
        <v>34249</v>
      </c>
    </row>
    <row r="29" spans="2:5" ht="18" x14ac:dyDescent="0.25">
      <c r="B29" s="16" t="s">
        <v>21</v>
      </c>
      <c r="C29" s="24"/>
      <c r="D29" s="17">
        <v>119720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1126567</v>
      </c>
    </row>
    <row r="35" spans="2:4" ht="18" x14ac:dyDescent="0.25">
      <c r="B35" s="9" t="s">
        <v>27</v>
      </c>
      <c r="C35" s="21"/>
      <c r="D35" s="10">
        <v>0</v>
      </c>
    </row>
    <row r="36" spans="2:4" ht="18" x14ac:dyDescent="0.25">
      <c r="B36" s="9" t="s">
        <v>28</v>
      </c>
      <c r="C36" s="21"/>
      <c r="D36" s="10">
        <v>0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0</v>
      </c>
    </row>
    <row r="40" spans="2:4" ht="18" x14ac:dyDescent="0.25">
      <c r="B40" s="9" t="s">
        <v>32</v>
      </c>
      <c r="C40" s="21"/>
      <c r="D40" s="10">
        <v>0</v>
      </c>
    </row>
    <row r="41" spans="2:4" ht="18" x14ac:dyDescent="0.25">
      <c r="B41" s="9" t="s">
        <v>12</v>
      </c>
      <c r="C41" s="21"/>
      <c r="D41" s="10">
        <v>18015</v>
      </c>
    </row>
    <row r="42" spans="2:4" ht="18" x14ac:dyDescent="0.25">
      <c r="B42" s="13" t="s">
        <v>33</v>
      </c>
      <c r="C42" s="23"/>
      <c r="D42" s="14">
        <v>1144582</v>
      </c>
    </row>
    <row r="43" spans="2:4" ht="18" x14ac:dyDescent="0.25">
      <c r="B43" s="16" t="s">
        <v>34</v>
      </c>
      <c r="C43" s="24"/>
      <c r="D43" s="17">
        <v>1264302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93454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677</v>
      </c>
    </row>
    <row r="49" spans="2:4" ht="18" x14ac:dyDescent="0.25">
      <c r="B49" s="9" t="s">
        <v>39</v>
      </c>
      <c r="C49" s="21"/>
      <c r="D49" s="10">
        <v>1288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177903</v>
      </c>
    </row>
    <row r="52" spans="2:4" ht="18" x14ac:dyDescent="0.25">
      <c r="B52" s="9" t="s">
        <v>42</v>
      </c>
      <c r="C52" s="21"/>
      <c r="D52" s="10">
        <v>4503</v>
      </c>
    </row>
    <row r="53" spans="2:4" ht="18" x14ac:dyDescent="0.25">
      <c r="B53" s="9" t="s">
        <v>43</v>
      </c>
      <c r="C53" s="21"/>
      <c r="D53" s="10">
        <v>23517</v>
      </c>
    </row>
    <row r="54" spans="2:4" ht="18" x14ac:dyDescent="0.25">
      <c r="B54" s="9" t="s">
        <v>44</v>
      </c>
      <c r="C54" s="21"/>
      <c r="D54" s="10">
        <v>5243</v>
      </c>
    </row>
    <row r="55" spans="2:4" ht="18" x14ac:dyDescent="0.25">
      <c r="B55" s="9" t="s">
        <v>45</v>
      </c>
      <c r="C55" s="21"/>
      <c r="D55" s="10">
        <v>922575</v>
      </c>
    </row>
    <row r="56" spans="2:4" ht="18" x14ac:dyDescent="0.25">
      <c r="B56" s="13" t="s">
        <v>46</v>
      </c>
      <c r="C56" s="23"/>
      <c r="D56" s="14">
        <v>1229160</v>
      </c>
    </row>
    <row r="57" spans="2:4" ht="18" x14ac:dyDescent="0.25">
      <c r="B57" s="16" t="s">
        <v>47</v>
      </c>
      <c r="C57" s="24"/>
      <c r="D57" s="17">
        <v>35142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10544</v>
      </c>
    </row>
    <row r="60" spans="2:4" ht="18" x14ac:dyDescent="0.25">
      <c r="B60" s="9" t="s">
        <v>50</v>
      </c>
      <c r="C60" s="21"/>
      <c r="D60" s="10">
        <v>0</v>
      </c>
    </row>
    <row r="61" spans="2:4" ht="18" x14ac:dyDescent="0.25">
      <c r="B61" s="16" t="s">
        <v>51</v>
      </c>
      <c r="C61" s="24"/>
      <c r="D61" s="17">
        <v>24598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24598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24598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24598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193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376</v>
      </c>
    </row>
    <row r="85" spans="2:4" ht="18" x14ac:dyDescent="0.25">
      <c r="B85" s="13" t="s">
        <v>69</v>
      </c>
      <c r="C85" s="23"/>
      <c r="D85" s="14">
        <v>569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569</v>
      </c>
    </row>
    <row r="92" spans="2:4" ht="18" x14ac:dyDescent="0.25">
      <c r="B92" s="16" t="s">
        <v>75</v>
      </c>
      <c r="C92" s="24"/>
      <c r="D92" s="17">
        <v>25167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25167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142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-2609</v>
      </c>
    </row>
    <row r="108" spans="2:4" ht="18" x14ac:dyDescent="0.25">
      <c r="B108" s="13" t="s">
        <v>86</v>
      </c>
      <c r="C108" s="23"/>
      <c r="D108" s="14">
        <v>-2467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-227</v>
      </c>
    </row>
    <row r="111" spans="2:4" ht="18" x14ac:dyDescent="0.25">
      <c r="B111" s="13" t="s">
        <v>73</v>
      </c>
      <c r="C111" s="23"/>
      <c r="D111" s="14">
        <v>-227</v>
      </c>
    </row>
    <row r="112" spans="2:4" ht="18" x14ac:dyDescent="0.25">
      <c r="B112" s="16" t="s">
        <v>87</v>
      </c>
      <c r="C112" s="24"/>
      <c r="D112" s="17">
        <v>-2694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2D33D-8245-4F3C-88B1-AC765B545EF5}">
  <sheetPr codeName="Sheet15">
    <tabColor theme="1"/>
  </sheetPr>
  <dimension ref="B2:E112"/>
  <sheetViews>
    <sheetView showGridLines="0" view="pageBreakPreview" topLeftCell="A24" zoomScale="70" zoomScaleNormal="85" workbookViewId="0">
      <selection activeCell="C1" sqref="C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98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5564</v>
      </c>
    </row>
    <row r="9" spans="2:4" ht="18" x14ac:dyDescent="0.25">
      <c r="B9" s="9" t="s">
        <v>2</v>
      </c>
      <c r="C9" s="21"/>
      <c r="D9" s="10">
        <v>9543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238427</v>
      </c>
    </row>
    <row r="14" spans="2:4" ht="18" x14ac:dyDescent="0.25">
      <c r="B14" s="9" t="s">
        <v>7</v>
      </c>
      <c r="C14" s="21"/>
      <c r="D14" s="10">
        <v>2610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256144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8975</v>
      </c>
    </row>
    <row r="23" spans="2:5" ht="18" x14ac:dyDescent="0.25">
      <c r="B23" s="9" t="s">
        <v>16</v>
      </c>
      <c r="C23" s="21"/>
      <c r="D23" s="10">
        <v>0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152333</v>
      </c>
    </row>
    <row r="26" spans="2:5" ht="18" x14ac:dyDescent="0.25">
      <c r="B26" s="13" t="s">
        <v>18</v>
      </c>
      <c r="C26" s="23"/>
      <c r="D26" s="14">
        <v>161308</v>
      </c>
    </row>
    <row r="27" spans="2:5" ht="18" x14ac:dyDescent="0.25">
      <c r="B27" s="16" t="s">
        <v>19</v>
      </c>
      <c r="C27" s="24"/>
      <c r="D27" s="17">
        <v>94836</v>
      </c>
    </row>
    <row r="28" spans="2:5" ht="18" x14ac:dyDescent="0.25">
      <c r="B28" s="9" t="s">
        <v>20</v>
      </c>
      <c r="C28" s="21"/>
      <c r="D28" s="10">
        <v>31811</v>
      </c>
    </row>
    <row r="29" spans="2:5" ht="18" x14ac:dyDescent="0.25">
      <c r="B29" s="16" t="s">
        <v>21</v>
      </c>
      <c r="C29" s="24"/>
      <c r="D29" s="17">
        <v>63025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727966</v>
      </c>
    </row>
    <row r="35" spans="2:4" ht="18" x14ac:dyDescent="0.25">
      <c r="B35" s="9" t="s">
        <v>27</v>
      </c>
      <c r="C35" s="21"/>
      <c r="D35" s="10">
        <v>0</v>
      </c>
    </row>
    <row r="36" spans="2:4" ht="18" x14ac:dyDescent="0.25">
      <c r="B36" s="9" t="s">
        <v>28</v>
      </c>
      <c r="C36" s="21"/>
      <c r="D36" s="10">
        <v>0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0</v>
      </c>
    </row>
    <row r="40" spans="2:4" ht="18" x14ac:dyDescent="0.25">
      <c r="B40" s="9" t="s">
        <v>32</v>
      </c>
      <c r="C40" s="21"/>
      <c r="D40" s="10">
        <v>0</v>
      </c>
    </row>
    <row r="41" spans="2:4" ht="18" x14ac:dyDescent="0.25">
      <c r="B41" s="9" t="s">
        <v>12</v>
      </c>
      <c r="C41" s="21"/>
      <c r="D41" s="10">
        <v>12163</v>
      </c>
    </row>
    <row r="42" spans="2:4" ht="18" x14ac:dyDescent="0.25">
      <c r="B42" s="13" t="s">
        <v>33</v>
      </c>
      <c r="C42" s="23"/>
      <c r="D42" s="14">
        <v>740129</v>
      </c>
    </row>
    <row r="43" spans="2:4" ht="18" x14ac:dyDescent="0.25">
      <c r="B43" s="16" t="s">
        <v>34</v>
      </c>
      <c r="C43" s="24"/>
      <c r="D43" s="17">
        <v>803154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63164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449</v>
      </c>
    </row>
    <row r="49" spans="2:4" ht="18" x14ac:dyDescent="0.25">
      <c r="B49" s="9" t="s">
        <v>39</v>
      </c>
      <c r="C49" s="21"/>
      <c r="D49" s="10">
        <v>727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116219</v>
      </c>
    </row>
    <row r="52" spans="2:4" ht="18" x14ac:dyDescent="0.25">
      <c r="B52" s="9" t="s">
        <v>42</v>
      </c>
      <c r="C52" s="21"/>
      <c r="D52" s="10">
        <v>2693</v>
      </c>
    </row>
    <row r="53" spans="2:4" ht="18" x14ac:dyDescent="0.25">
      <c r="B53" s="9" t="s">
        <v>43</v>
      </c>
      <c r="C53" s="21"/>
      <c r="D53" s="10">
        <v>15286</v>
      </c>
    </row>
    <row r="54" spans="2:4" ht="18" x14ac:dyDescent="0.25">
      <c r="B54" s="9" t="s">
        <v>44</v>
      </c>
      <c r="C54" s="21"/>
      <c r="D54" s="10">
        <v>3580</v>
      </c>
    </row>
    <row r="55" spans="2:4" ht="18" x14ac:dyDescent="0.25">
      <c r="B55" s="9" t="s">
        <v>45</v>
      </c>
      <c r="C55" s="21"/>
      <c r="D55" s="10">
        <v>600929</v>
      </c>
    </row>
    <row r="56" spans="2:4" ht="18" x14ac:dyDescent="0.25">
      <c r="B56" s="13" t="s">
        <v>46</v>
      </c>
      <c r="C56" s="23"/>
      <c r="D56" s="14">
        <v>803047</v>
      </c>
    </row>
    <row r="57" spans="2:4" ht="18" x14ac:dyDescent="0.25">
      <c r="B57" s="16" t="s">
        <v>47</v>
      </c>
      <c r="C57" s="24"/>
      <c r="D57" s="17">
        <v>107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883</v>
      </c>
    </row>
    <row r="60" spans="2:4" ht="18" x14ac:dyDescent="0.25">
      <c r="B60" s="9" t="s">
        <v>50</v>
      </c>
      <c r="C60" s="21"/>
      <c r="D60" s="10">
        <v>0</v>
      </c>
    </row>
    <row r="61" spans="2:4" ht="18" x14ac:dyDescent="0.25">
      <c r="B61" s="16" t="s">
        <v>51</v>
      </c>
      <c r="C61" s="24"/>
      <c r="D61" s="17">
        <v>-776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-776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-776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-776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49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2205</v>
      </c>
    </row>
    <row r="85" spans="2:4" ht="18" x14ac:dyDescent="0.25">
      <c r="B85" s="13" t="s">
        <v>69</v>
      </c>
      <c r="C85" s="23"/>
      <c r="D85" s="14">
        <v>2254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2254</v>
      </c>
    </row>
    <row r="92" spans="2:4" ht="18" x14ac:dyDescent="0.25">
      <c r="B92" s="16" t="s">
        <v>75</v>
      </c>
      <c r="C92" s="24"/>
      <c r="D92" s="17">
        <v>1478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1478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-3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-779</v>
      </c>
    </row>
    <row r="108" spans="2:4" ht="18" x14ac:dyDescent="0.25">
      <c r="B108" s="13" t="s">
        <v>86</v>
      </c>
      <c r="C108" s="23"/>
      <c r="D108" s="14">
        <v>-782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-227</v>
      </c>
    </row>
    <row r="111" spans="2:4" ht="18" x14ac:dyDescent="0.25">
      <c r="B111" s="13" t="s">
        <v>73</v>
      </c>
      <c r="C111" s="23"/>
      <c r="D111" s="14">
        <v>-227</v>
      </c>
    </row>
    <row r="112" spans="2:4" ht="18" x14ac:dyDescent="0.25">
      <c r="B112" s="16" t="s">
        <v>87</v>
      </c>
      <c r="C112" s="24"/>
      <c r="D112" s="17">
        <v>-1009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D590F-57B5-4FC6-BAA7-CDA62EB62B77}">
  <sheetPr codeName="Sheet17">
    <tabColor theme="1"/>
  </sheetPr>
  <dimension ref="B2:E112"/>
  <sheetViews>
    <sheetView showGridLines="0" view="pageBreakPreview" topLeftCell="A24" zoomScale="70" zoomScaleNormal="85" workbookViewId="0">
      <selection activeCell="C1" sqref="C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99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3032</v>
      </c>
    </row>
    <row r="9" spans="2:4" ht="18" x14ac:dyDescent="0.25">
      <c r="B9" s="9" t="s">
        <v>2</v>
      </c>
      <c r="C9" s="21"/>
      <c r="D9" s="10">
        <v>4803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119087</v>
      </c>
    </row>
    <row r="14" spans="2:4" ht="18" x14ac:dyDescent="0.25">
      <c r="B14" s="9" t="s">
        <v>7</v>
      </c>
      <c r="C14" s="21"/>
      <c r="D14" s="10">
        <v>1268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128190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4706</v>
      </c>
    </row>
    <row r="23" spans="2:5" ht="18" x14ac:dyDescent="0.25">
      <c r="B23" s="9" t="s">
        <v>16</v>
      </c>
      <c r="C23" s="21"/>
      <c r="D23" s="10">
        <v>0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71228</v>
      </c>
    </row>
    <row r="26" spans="2:5" ht="18" x14ac:dyDescent="0.25">
      <c r="B26" s="13" t="s">
        <v>18</v>
      </c>
      <c r="C26" s="23"/>
      <c r="D26" s="14">
        <v>75934</v>
      </c>
    </row>
    <row r="27" spans="2:5" ht="18" x14ac:dyDescent="0.25">
      <c r="B27" s="16" t="s">
        <v>19</v>
      </c>
      <c r="C27" s="24"/>
      <c r="D27" s="17">
        <v>52256</v>
      </c>
    </row>
    <row r="28" spans="2:5" ht="18" x14ac:dyDescent="0.25">
      <c r="B28" s="9" t="s">
        <v>20</v>
      </c>
      <c r="C28" s="21"/>
      <c r="D28" s="10">
        <v>16056</v>
      </c>
    </row>
    <row r="29" spans="2:5" ht="18" x14ac:dyDescent="0.25">
      <c r="B29" s="16" t="s">
        <v>21</v>
      </c>
      <c r="C29" s="24"/>
      <c r="D29" s="17">
        <v>36200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345959</v>
      </c>
    </row>
    <row r="35" spans="2:4" ht="18" x14ac:dyDescent="0.25">
      <c r="B35" s="9" t="s">
        <v>27</v>
      </c>
      <c r="C35" s="21"/>
      <c r="D35" s="10">
        <v>0</v>
      </c>
    </row>
    <row r="36" spans="2:4" ht="18" x14ac:dyDescent="0.25">
      <c r="B36" s="9" t="s">
        <v>28</v>
      </c>
      <c r="C36" s="21"/>
      <c r="D36" s="10">
        <v>0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0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6379</v>
      </c>
    </row>
    <row r="42" spans="2:4" ht="18" x14ac:dyDescent="0.25">
      <c r="B42" s="13" t="s">
        <v>33</v>
      </c>
      <c r="C42" s="23"/>
      <c r="D42" s="14">
        <v>352338</v>
      </c>
    </row>
    <row r="43" spans="2:4" ht="18" x14ac:dyDescent="0.25">
      <c r="B43" s="16" t="s">
        <v>34</v>
      </c>
      <c r="C43" s="24"/>
      <c r="D43" s="17">
        <v>388538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32373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224</v>
      </c>
    </row>
    <row r="49" spans="2:4" ht="18" x14ac:dyDescent="0.25">
      <c r="B49" s="9" t="s">
        <v>39</v>
      </c>
      <c r="C49" s="21"/>
      <c r="D49" s="10">
        <v>369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67596</v>
      </c>
    </row>
    <row r="52" spans="2:4" ht="18" x14ac:dyDescent="0.25">
      <c r="B52" s="9" t="s">
        <v>42</v>
      </c>
      <c r="C52" s="21"/>
      <c r="D52" s="10">
        <v>1107</v>
      </c>
    </row>
    <row r="53" spans="2:4" ht="18" x14ac:dyDescent="0.25">
      <c r="B53" s="9" t="s">
        <v>43</v>
      </c>
      <c r="C53" s="21"/>
      <c r="D53" s="10">
        <v>7466</v>
      </c>
    </row>
    <row r="54" spans="2:4" ht="18" x14ac:dyDescent="0.25">
      <c r="B54" s="9" t="s">
        <v>44</v>
      </c>
      <c r="C54" s="21"/>
      <c r="D54" s="10">
        <v>1014</v>
      </c>
    </row>
    <row r="55" spans="2:4" ht="18" x14ac:dyDescent="0.25">
      <c r="B55" s="9" t="s">
        <v>45</v>
      </c>
      <c r="C55" s="21"/>
      <c r="D55" s="10">
        <v>285294</v>
      </c>
    </row>
    <row r="56" spans="2:4" ht="18" x14ac:dyDescent="0.25">
      <c r="B56" s="13" t="s">
        <v>46</v>
      </c>
      <c r="C56" s="23"/>
      <c r="D56" s="14">
        <v>395443</v>
      </c>
    </row>
    <row r="57" spans="2:4" ht="18" x14ac:dyDescent="0.25">
      <c r="B57" s="16" t="s">
        <v>47</v>
      </c>
      <c r="C57" s="24"/>
      <c r="D57" s="17">
        <v>-6905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-1452</v>
      </c>
    </row>
    <row r="60" spans="2:4" ht="18" x14ac:dyDescent="0.25">
      <c r="B60" s="9" t="s">
        <v>50</v>
      </c>
      <c r="C60" s="21"/>
      <c r="D60" s="10">
        <v>0</v>
      </c>
    </row>
    <row r="61" spans="2:4" ht="18" x14ac:dyDescent="0.25">
      <c r="B61" s="16" t="s">
        <v>51</v>
      </c>
      <c r="C61" s="24"/>
      <c r="D61" s="17">
        <v>-5453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-5453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-5453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-5453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-121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1228</v>
      </c>
    </row>
    <row r="85" spans="2:4" ht="18" x14ac:dyDescent="0.25">
      <c r="B85" s="13" t="s">
        <v>69</v>
      </c>
      <c r="C85" s="23"/>
      <c r="D85" s="14">
        <v>1107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1107</v>
      </c>
    </row>
    <row r="92" spans="2:4" ht="18" x14ac:dyDescent="0.25">
      <c r="B92" s="16" t="s">
        <v>75</v>
      </c>
      <c r="C92" s="24"/>
      <c r="D92" s="17">
        <v>-4346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-4346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-172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-1757</v>
      </c>
    </row>
    <row r="108" spans="2:4" ht="18" x14ac:dyDescent="0.25">
      <c r="B108" s="13" t="s">
        <v>86</v>
      </c>
      <c r="C108" s="23"/>
      <c r="D108" s="14">
        <v>-1929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-227</v>
      </c>
    </row>
    <row r="111" spans="2:4" ht="18" x14ac:dyDescent="0.25">
      <c r="B111" s="13" t="s">
        <v>73</v>
      </c>
      <c r="C111" s="23"/>
      <c r="D111" s="14">
        <v>-227</v>
      </c>
    </row>
    <row r="112" spans="2:4" ht="18" x14ac:dyDescent="0.25">
      <c r="B112" s="16" t="s">
        <v>87</v>
      </c>
      <c r="C112" s="24"/>
      <c r="D112" s="17">
        <v>-2156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96B9C-D705-4FCB-8557-721D8976C0AB}">
  <sheetPr codeName="Sheet19">
    <tabColor theme="1"/>
  </sheetPr>
  <dimension ref="B2:E112"/>
  <sheetViews>
    <sheetView showGridLines="0" view="pageBreakPreview" topLeftCell="A24" zoomScale="70" zoomScaleNormal="85" workbookViewId="0">
      <selection activeCell="C1" sqref="C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100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12082</v>
      </c>
    </row>
    <row r="9" spans="2:4" ht="18" x14ac:dyDescent="0.25">
      <c r="B9" s="9" t="s">
        <v>2</v>
      </c>
      <c r="C9" s="21"/>
      <c r="D9" s="10">
        <v>19224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404390</v>
      </c>
    </row>
    <row r="14" spans="2:4" ht="18" x14ac:dyDescent="0.25">
      <c r="B14" s="9" t="s">
        <v>7</v>
      </c>
      <c r="C14" s="21"/>
      <c r="D14" s="10">
        <v>5290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440986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20762</v>
      </c>
    </row>
    <row r="23" spans="2:5" ht="18" x14ac:dyDescent="0.25">
      <c r="B23" s="9" t="s">
        <v>16</v>
      </c>
      <c r="C23" s="21"/>
      <c r="D23" s="10">
        <v>0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262396</v>
      </c>
    </row>
    <row r="26" spans="2:5" ht="18" x14ac:dyDescent="0.25">
      <c r="B26" s="13" t="s">
        <v>18</v>
      </c>
      <c r="C26" s="23"/>
      <c r="D26" s="14">
        <v>283158</v>
      </c>
    </row>
    <row r="27" spans="2:5" ht="18" x14ac:dyDescent="0.25">
      <c r="B27" s="16" t="s">
        <v>19</v>
      </c>
      <c r="C27" s="24"/>
      <c r="D27" s="17">
        <v>157828</v>
      </c>
    </row>
    <row r="28" spans="2:5" ht="18" x14ac:dyDescent="0.25">
      <c r="B28" s="9" t="s">
        <v>20</v>
      </c>
      <c r="C28" s="21"/>
      <c r="D28" s="10">
        <v>52870</v>
      </c>
    </row>
    <row r="29" spans="2:5" ht="18" x14ac:dyDescent="0.25">
      <c r="B29" s="16" t="s">
        <v>21</v>
      </c>
      <c r="C29" s="24"/>
      <c r="D29" s="17">
        <v>104958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1366722</v>
      </c>
    </row>
    <row r="35" spans="2:4" ht="18" x14ac:dyDescent="0.25">
      <c r="B35" s="9" t="s">
        <v>27</v>
      </c>
      <c r="C35" s="21"/>
      <c r="D35" s="10">
        <v>0</v>
      </c>
    </row>
    <row r="36" spans="2:4" ht="18" x14ac:dyDescent="0.25">
      <c r="B36" s="9" t="s">
        <v>28</v>
      </c>
      <c r="C36" s="21"/>
      <c r="D36" s="10">
        <v>0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0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25151</v>
      </c>
    </row>
    <row r="42" spans="2:4" ht="18" x14ac:dyDescent="0.25">
      <c r="B42" s="13" t="s">
        <v>33</v>
      </c>
      <c r="C42" s="23"/>
      <c r="D42" s="14">
        <v>1391873</v>
      </c>
    </row>
    <row r="43" spans="2:4" ht="18" x14ac:dyDescent="0.25">
      <c r="B43" s="16" t="s">
        <v>34</v>
      </c>
      <c r="C43" s="24"/>
      <c r="D43" s="17">
        <v>1496831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135449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896</v>
      </c>
    </row>
    <row r="49" spans="2:4" ht="18" x14ac:dyDescent="0.25">
      <c r="B49" s="9" t="s">
        <v>39</v>
      </c>
      <c r="C49" s="21"/>
      <c r="D49" s="10">
        <v>1312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228240</v>
      </c>
    </row>
    <row r="52" spans="2:4" ht="18" x14ac:dyDescent="0.25">
      <c r="B52" s="9" t="s">
        <v>42</v>
      </c>
      <c r="C52" s="21"/>
      <c r="D52" s="10">
        <v>5870</v>
      </c>
    </row>
    <row r="53" spans="2:4" ht="18" x14ac:dyDescent="0.25">
      <c r="B53" s="9" t="s">
        <v>43</v>
      </c>
      <c r="C53" s="21"/>
      <c r="D53" s="10">
        <v>43831</v>
      </c>
    </row>
    <row r="54" spans="2:4" ht="18" x14ac:dyDescent="0.25">
      <c r="B54" s="9" t="s">
        <v>44</v>
      </c>
      <c r="C54" s="21"/>
      <c r="D54" s="10">
        <v>7891</v>
      </c>
    </row>
    <row r="55" spans="2:4" ht="18" x14ac:dyDescent="0.25">
      <c r="B55" s="9" t="s">
        <v>45</v>
      </c>
      <c r="C55" s="21"/>
      <c r="D55" s="10">
        <v>1094918</v>
      </c>
    </row>
    <row r="56" spans="2:4" ht="18" x14ac:dyDescent="0.25">
      <c r="B56" s="13" t="s">
        <v>46</v>
      </c>
      <c r="C56" s="23"/>
      <c r="D56" s="14">
        <v>1518407</v>
      </c>
    </row>
    <row r="57" spans="2:4" ht="18" x14ac:dyDescent="0.25">
      <c r="B57" s="16" t="s">
        <v>47</v>
      </c>
      <c r="C57" s="24"/>
      <c r="D57" s="17">
        <v>-21576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-3998</v>
      </c>
    </row>
    <row r="60" spans="2:4" ht="18" x14ac:dyDescent="0.25">
      <c r="B60" s="9" t="s">
        <v>50</v>
      </c>
      <c r="C60" s="21"/>
      <c r="D60" s="10">
        <v>0</v>
      </c>
    </row>
    <row r="61" spans="2:4" ht="18" x14ac:dyDescent="0.25">
      <c r="B61" s="16" t="s">
        <v>51</v>
      </c>
      <c r="C61" s="24"/>
      <c r="D61" s="17">
        <v>-17578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-17578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-17578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-17578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94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240</v>
      </c>
    </row>
    <row r="85" spans="2:4" ht="18" x14ac:dyDescent="0.25">
      <c r="B85" s="13" t="s">
        <v>69</v>
      </c>
      <c r="C85" s="23"/>
      <c r="D85" s="14">
        <v>334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-46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-46</v>
      </c>
    </row>
    <row r="91" spans="2:4" ht="18" x14ac:dyDescent="0.25">
      <c r="B91" s="16" t="s">
        <v>74</v>
      </c>
      <c r="C91" s="24"/>
      <c r="D91" s="17">
        <v>288</v>
      </c>
    </row>
    <row r="92" spans="2:4" ht="18" x14ac:dyDescent="0.25">
      <c r="B92" s="16" t="s">
        <v>75</v>
      </c>
      <c r="C92" s="24"/>
      <c r="D92" s="17">
        <v>-17290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-17290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-52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-2984</v>
      </c>
    </row>
    <row r="108" spans="2:4" ht="18" x14ac:dyDescent="0.25">
      <c r="B108" s="13" t="s">
        <v>86</v>
      </c>
      <c r="C108" s="23"/>
      <c r="D108" s="14">
        <v>-3036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-227</v>
      </c>
    </row>
    <row r="111" spans="2:4" ht="18" x14ac:dyDescent="0.25">
      <c r="B111" s="13" t="s">
        <v>73</v>
      </c>
      <c r="C111" s="23"/>
      <c r="D111" s="14">
        <v>-227</v>
      </c>
    </row>
    <row r="112" spans="2:4" ht="18" x14ac:dyDescent="0.25">
      <c r="B112" s="16" t="s">
        <v>87</v>
      </c>
      <c r="C112" s="24"/>
      <c r="D112" s="17">
        <v>-3263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F6C0E-558B-4F07-A067-D16871B58988}">
  <sheetPr codeName="Sheet21">
    <tabColor theme="1"/>
  </sheetPr>
  <dimension ref="B2:E112"/>
  <sheetViews>
    <sheetView showGridLines="0" view="pageBreakPreview" topLeftCell="A3" zoomScale="70" zoomScaleNormal="85" workbookViewId="0">
      <selection activeCell="D42" sqref="D42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101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8212</v>
      </c>
    </row>
    <row r="9" spans="2:4" ht="18" x14ac:dyDescent="0.25">
      <c r="B9" s="9" t="s">
        <v>2</v>
      </c>
      <c r="C9" s="21"/>
      <c r="D9" s="10">
        <v>14360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290565</v>
      </c>
    </row>
    <row r="14" spans="2:4" ht="18" x14ac:dyDescent="0.25">
      <c r="B14" s="9" t="s">
        <v>7</v>
      </c>
      <c r="C14" s="21"/>
      <c r="D14" s="10">
        <v>4001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317138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16028</v>
      </c>
    </row>
    <row r="23" spans="2:5" ht="18" x14ac:dyDescent="0.25">
      <c r="B23" s="9" t="s">
        <v>16</v>
      </c>
      <c r="C23" s="21"/>
      <c r="D23" s="10">
        <v>0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184484</v>
      </c>
    </row>
    <row r="26" spans="2:5" ht="18" x14ac:dyDescent="0.25">
      <c r="B26" s="13" t="s">
        <v>18</v>
      </c>
      <c r="C26" s="23"/>
      <c r="D26" s="14">
        <v>200512</v>
      </c>
    </row>
    <row r="27" spans="2:5" ht="18" x14ac:dyDescent="0.25">
      <c r="B27" s="16" t="s">
        <v>19</v>
      </c>
      <c r="C27" s="24"/>
      <c r="D27" s="17">
        <v>116626</v>
      </c>
    </row>
    <row r="28" spans="2:5" ht="18" x14ac:dyDescent="0.25">
      <c r="B28" s="9" t="s">
        <v>20</v>
      </c>
      <c r="C28" s="21"/>
      <c r="D28" s="10">
        <v>35521</v>
      </c>
    </row>
    <row r="29" spans="2:5" ht="18" x14ac:dyDescent="0.25">
      <c r="B29" s="16" t="s">
        <v>21</v>
      </c>
      <c r="C29" s="24"/>
      <c r="D29" s="17">
        <v>81105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1007560</v>
      </c>
    </row>
    <row r="35" spans="2:4" ht="18" x14ac:dyDescent="0.25">
      <c r="B35" s="9" t="s">
        <v>27</v>
      </c>
      <c r="C35" s="21"/>
      <c r="D35" s="10">
        <v>0</v>
      </c>
    </row>
    <row r="36" spans="2:4" ht="18" x14ac:dyDescent="0.25">
      <c r="B36" s="9" t="s">
        <v>28</v>
      </c>
      <c r="C36" s="21"/>
      <c r="D36" s="10">
        <v>0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0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18225</v>
      </c>
    </row>
    <row r="42" spans="2:4" ht="18" x14ac:dyDescent="0.25">
      <c r="B42" s="13" t="s">
        <v>33</v>
      </c>
      <c r="C42" s="23"/>
      <c r="D42" s="14">
        <v>1025785</v>
      </c>
    </row>
    <row r="43" spans="2:4" ht="18" x14ac:dyDescent="0.25">
      <c r="B43" s="16" t="s">
        <v>34</v>
      </c>
      <c r="C43" s="24"/>
      <c r="D43" s="17">
        <v>1106890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99622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672</v>
      </c>
    </row>
    <row r="49" spans="2:4" ht="18" x14ac:dyDescent="0.25">
      <c r="B49" s="9" t="s">
        <v>39</v>
      </c>
      <c r="C49" s="21"/>
      <c r="D49" s="10">
        <v>981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179870</v>
      </c>
    </row>
    <row r="52" spans="2:4" ht="18" x14ac:dyDescent="0.25">
      <c r="B52" s="9" t="s">
        <v>42</v>
      </c>
      <c r="C52" s="21"/>
      <c r="D52" s="10">
        <v>4341</v>
      </c>
    </row>
    <row r="53" spans="2:4" ht="18" x14ac:dyDescent="0.25">
      <c r="B53" s="9" t="s">
        <v>43</v>
      </c>
      <c r="C53" s="21"/>
      <c r="D53" s="10">
        <v>39464</v>
      </c>
    </row>
    <row r="54" spans="2:4" ht="18" x14ac:dyDescent="0.25">
      <c r="B54" s="9" t="s">
        <v>44</v>
      </c>
      <c r="C54" s="21"/>
      <c r="D54" s="10">
        <v>5868</v>
      </c>
    </row>
    <row r="55" spans="2:4" ht="18" x14ac:dyDescent="0.25">
      <c r="B55" s="9" t="s">
        <v>45</v>
      </c>
      <c r="C55" s="21"/>
      <c r="D55" s="10">
        <v>799764</v>
      </c>
    </row>
    <row r="56" spans="2:4" ht="18" x14ac:dyDescent="0.25">
      <c r="B56" s="13" t="s">
        <v>46</v>
      </c>
      <c r="C56" s="23"/>
      <c r="D56" s="14">
        <v>1130582</v>
      </c>
    </row>
    <row r="57" spans="2:4" ht="18" x14ac:dyDescent="0.25">
      <c r="B57" s="16" t="s">
        <v>47</v>
      </c>
      <c r="C57" s="24"/>
      <c r="D57" s="17">
        <v>-23692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-4725</v>
      </c>
    </row>
    <row r="60" spans="2:4" ht="18" x14ac:dyDescent="0.25">
      <c r="B60" s="9" t="s">
        <v>50</v>
      </c>
      <c r="C60" s="21"/>
      <c r="D60" s="10">
        <v>0</v>
      </c>
    </row>
    <row r="61" spans="2:4" ht="18" x14ac:dyDescent="0.25">
      <c r="B61" s="16" t="s">
        <v>51</v>
      </c>
      <c r="C61" s="24"/>
      <c r="D61" s="17">
        <v>-18967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-18967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-18967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-18967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77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-1686</v>
      </c>
    </row>
    <row r="85" spans="2:4" ht="18" x14ac:dyDescent="0.25">
      <c r="B85" s="13" t="s">
        <v>69</v>
      </c>
      <c r="C85" s="23"/>
      <c r="D85" s="14">
        <v>-1609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-1609</v>
      </c>
    </row>
    <row r="92" spans="2:4" ht="18" x14ac:dyDescent="0.25">
      <c r="B92" s="16" t="s">
        <v>75</v>
      </c>
      <c r="C92" s="24"/>
      <c r="D92" s="17">
        <v>-20576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-20576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-69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-4910</v>
      </c>
    </row>
    <row r="108" spans="2:4" ht="18" x14ac:dyDescent="0.25">
      <c r="B108" s="13" t="s">
        <v>86</v>
      </c>
      <c r="C108" s="23"/>
      <c r="D108" s="14">
        <v>-4979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-181</v>
      </c>
    </row>
    <row r="111" spans="2:4" ht="18" x14ac:dyDescent="0.25">
      <c r="B111" s="13" t="s">
        <v>73</v>
      </c>
      <c r="C111" s="23"/>
      <c r="D111" s="14">
        <v>-181</v>
      </c>
    </row>
    <row r="112" spans="2:4" ht="18" x14ac:dyDescent="0.25">
      <c r="B112" s="16" t="s">
        <v>87</v>
      </c>
      <c r="C112" s="24"/>
      <c r="D112" s="17">
        <v>-5160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A7D77-F483-4258-9364-B282046B7A53}">
  <sheetPr codeName="Sheet23">
    <tabColor theme="1"/>
  </sheetPr>
  <dimension ref="B2:E112"/>
  <sheetViews>
    <sheetView showGridLines="0" view="pageBreakPreview" topLeftCell="A24" zoomScale="70" zoomScaleNormal="85" workbookViewId="0">
      <selection activeCell="D39" sqref="D39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102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4832</v>
      </c>
    </row>
    <row r="9" spans="2:4" ht="18" x14ac:dyDescent="0.25">
      <c r="B9" s="9" t="s">
        <v>2</v>
      </c>
      <c r="C9" s="21"/>
      <c r="D9" s="10">
        <v>9138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185616</v>
      </c>
    </row>
    <row r="14" spans="2:4" ht="18" x14ac:dyDescent="0.25">
      <c r="B14" s="9" t="s">
        <v>7</v>
      </c>
      <c r="C14" s="21"/>
      <c r="D14" s="10">
        <v>2684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202270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9922</v>
      </c>
    </row>
    <row r="23" spans="2:5" ht="18" x14ac:dyDescent="0.25">
      <c r="B23" s="9" t="s">
        <v>16</v>
      </c>
      <c r="C23" s="21"/>
      <c r="D23" s="10">
        <v>0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128374</v>
      </c>
    </row>
    <row r="26" spans="2:5" ht="18" x14ac:dyDescent="0.25">
      <c r="B26" s="13" t="s">
        <v>18</v>
      </c>
      <c r="C26" s="23"/>
      <c r="D26" s="14">
        <v>138296</v>
      </c>
    </row>
    <row r="27" spans="2:5" ht="18" x14ac:dyDescent="0.25">
      <c r="B27" s="16" t="s">
        <v>19</v>
      </c>
      <c r="C27" s="24"/>
      <c r="D27" s="17">
        <v>63974</v>
      </c>
    </row>
    <row r="28" spans="2:5" ht="18" x14ac:dyDescent="0.25">
      <c r="B28" s="9" t="s">
        <v>20</v>
      </c>
      <c r="C28" s="21"/>
      <c r="D28" s="10">
        <v>23630</v>
      </c>
    </row>
    <row r="29" spans="2:5" ht="18" x14ac:dyDescent="0.25">
      <c r="B29" s="16" t="s">
        <v>21</v>
      </c>
      <c r="C29" s="24"/>
      <c r="D29" s="17">
        <v>40344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650524</v>
      </c>
    </row>
    <row r="35" spans="2:4" ht="18" x14ac:dyDescent="0.25">
      <c r="B35" s="9" t="s">
        <v>27</v>
      </c>
      <c r="C35" s="21"/>
      <c r="D35" s="10">
        <v>0</v>
      </c>
    </row>
    <row r="36" spans="2:4" ht="18" x14ac:dyDescent="0.25">
      <c r="B36" s="9" t="s">
        <v>28</v>
      </c>
      <c r="C36" s="21"/>
      <c r="D36" s="10">
        <v>0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0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12126</v>
      </c>
    </row>
    <row r="42" spans="2:4" ht="18" x14ac:dyDescent="0.25">
      <c r="B42" s="13" t="s">
        <v>33</v>
      </c>
      <c r="C42" s="23"/>
      <c r="D42" s="14">
        <v>662650</v>
      </c>
    </row>
    <row r="43" spans="2:4" ht="18" x14ac:dyDescent="0.25">
      <c r="B43" s="16" t="s">
        <v>34</v>
      </c>
      <c r="C43" s="24"/>
      <c r="D43" s="17">
        <v>702994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66502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448</v>
      </c>
    </row>
    <row r="49" spans="2:4" ht="18" x14ac:dyDescent="0.25">
      <c r="B49" s="9" t="s">
        <v>39</v>
      </c>
      <c r="C49" s="21"/>
      <c r="D49" s="10">
        <v>486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112811</v>
      </c>
    </row>
    <row r="52" spans="2:4" ht="18" x14ac:dyDescent="0.25">
      <c r="B52" s="9" t="s">
        <v>42</v>
      </c>
      <c r="C52" s="21"/>
      <c r="D52" s="10">
        <v>2145</v>
      </c>
    </row>
    <row r="53" spans="2:4" ht="18" x14ac:dyDescent="0.25">
      <c r="B53" s="9" t="s">
        <v>43</v>
      </c>
      <c r="C53" s="21"/>
      <c r="D53" s="10">
        <v>33421</v>
      </c>
    </row>
    <row r="54" spans="2:4" ht="18" x14ac:dyDescent="0.25">
      <c r="B54" s="9" t="s">
        <v>44</v>
      </c>
      <c r="C54" s="21"/>
      <c r="D54" s="10">
        <v>4036</v>
      </c>
    </row>
    <row r="55" spans="2:4" ht="18" x14ac:dyDescent="0.25">
      <c r="B55" s="9" t="s">
        <v>45</v>
      </c>
      <c r="C55" s="21"/>
      <c r="D55" s="10">
        <v>513503</v>
      </c>
    </row>
    <row r="56" spans="2:4" ht="18" x14ac:dyDescent="0.25">
      <c r="B56" s="13" t="s">
        <v>46</v>
      </c>
      <c r="C56" s="23"/>
      <c r="D56" s="14">
        <v>733352</v>
      </c>
    </row>
    <row r="57" spans="2:4" ht="18" x14ac:dyDescent="0.25">
      <c r="B57" s="16" t="s">
        <v>47</v>
      </c>
      <c r="C57" s="24"/>
      <c r="D57" s="17">
        <v>-30358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-7029</v>
      </c>
    </row>
    <row r="60" spans="2:4" ht="18" x14ac:dyDescent="0.25">
      <c r="B60" s="9" t="s">
        <v>50</v>
      </c>
      <c r="C60" s="21"/>
      <c r="D60" s="10">
        <v>0</v>
      </c>
    </row>
    <row r="61" spans="2:4" ht="18" x14ac:dyDescent="0.25">
      <c r="B61" s="16" t="s">
        <v>51</v>
      </c>
      <c r="C61" s="24"/>
      <c r="D61" s="17">
        <v>-23329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-23329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-23329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-23329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6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-20725</v>
      </c>
    </row>
    <row r="85" spans="2:4" ht="18" x14ac:dyDescent="0.25">
      <c r="B85" s="13" t="s">
        <v>69</v>
      </c>
      <c r="C85" s="23"/>
      <c r="D85" s="14">
        <v>-20719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-20719</v>
      </c>
    </row>
    <row r="92" spans="2:4" ht="18" x14ac:dyDescent="0.25">
      <c r="B92" s="16" t="s">
        <v>75</v>
      </c>
      <c r="C92" s="24"/>
      <c r="D92" s="17">
        <v>-44048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-44048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-140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-23950</v>
      </c>
    </row>
    <row r="108" spans="2:4" ht="18" x14ac:dyDescent="0.25">
      <c r="B108" s="13" t="s">
        <v>86</v>
      </c>
      <c r="C108" s="23"/>
      <c r="D108" s="14">
        <v>-24090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-181</v>
      </c>
    </row>
    <row r="111" spans="2:4" ht="18" x14ac:dyDescent="0.25">
      <c r="B111" s="13" t="s">
        <v>73</v>
      </c>
      <c r="C111" s="23"/>
      <c r="D111" s="14">
        <v>-181</v>
      </c>
    </row>
    <row r="112" spans="2:4" ht="18" x14ac:dyDescent="0.25">
      <c r="B112" s="16" t="s">
        <v>87</v>
      </c>
      <c r="C112" s="24"/>
      <c r="D112" s="17">
        <v>-24271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F1A73-337F-4126-8022-AEC5E5D963DE}">
  <sheetPr codeName="Sheet25">
    <tabColor theme="1"/>
  </sheetPr>
  <dimension ref="B2:E112"/>
  <sheetViews>
    <sheetView showGridLines="0" view="pageBreakPreview" topLeftCell="B18" zoomScale="70" zoomScaleNormal="85" workbookViewId="0">
      <selection activeCell="C42" sqref="C42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103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1990</v>
      </c>
    </row>
    <row r="9" spans="2:4" ht="18" x14ac:dyDescent="0.25">
      <c r="B9" s="9" t="s">
        <v>2</v>
      </c>
      <c r="C9" s="21"/>
      <c r="D9" s="10">
        <v>3954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90829</v>
      </c>
    </row>
    <row r="14" spans="2:4" ht="18" x14ac:dyDescent="0.25">
      <c r="B14" s="9" t="s">
        <v>7</v>
      </c>
      <c r="C14" s="21"/>
      <c r="D14" s="10">
        <v>1305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98078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3909</v>
      </c>
    </row>
    <row r="23" spans="2:5" ht="18" x14ac:dyDescent="0.25">
      <c r="B23" s="9" t="s">
        <v>16</v>
      </c>
      <c r="C23" s="21"/>
      <c r="D23" s="10">
        <v>0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57827</v>
      </c>
    </row>
    <row r="26" spans="2:5" ht="18" x14ac:dyDescent="0.25">
      <c r="B26" s="13" t="s">
        <v>18</v>
      </c>
      <c r="C26" s="23"/>
      <c r="D26" s="14">
        <v>61736</v>
      </c>
    </row>
    <row r="27" spans="2:5" ht="18" x14ac:dyDescent="0.25">
      <c r="B27" s="16" t="s">
        <v>19</v>
      </c>
      <c r="C27" s="24"/>
      <c r="D27" s="17">
        <v>36342</v>
      </c>
    </row>
    <row r="28" spans="2:5" ht="18" x14ac:dyDescent="0.25">
      <c r="B28" s="9" t="s">
        <v>20</v>
      </c>
      <c r="C28" s="21"/>
      <c r="D28" s="10">
        <v>17807</v>
      </c>
    </row>
    <row r="29" spans="2:5" ht="18" x14ac:dyDescent="0.25">
      <c r="B29" s="16" t="s">
        <v>21</v>
      </c>
      <c r="C29" s="24"/>
      <c r="D29" s="17">
        <v>18535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308690</v>
      </c>
    </row>
    <row r="35" spans="2:4" ht="18" x14ac:dyDescent="0.25">
      <c r="B35" s="9" t="s">
        <v>27</v>
      </c>
      <c r="C35" s="21"/>
      <c r="D35" s="10">
        <v>0</v>
      </c>
    </row>
    <row r="36" spans="2:4" ht="18" x14ac:dyDescent="0.25">
      <c r="B36" s="9" t="s">
        <v>28</v>
      </c>
      <c r="C36" s="21"/>
      <c r="D36" s="10">
        <v>0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0</v>
      </c>
    </row>
    <row r="40" spans="2:4" ht="18" x14ac:dyDescent="0.25">
      <c r="B40" s="9" t="s">
        <v>32</v>
      </c>
      <c r="C40" s="21"/>
      <c r="D40" s="10">
        <v>903</v>
      </c>
    </row>
    <row r="41" spans="2:4" ht="18" x14ac:dyDescent="0.25">
      <c r="B41" s="9" t="s">
        <v>12</v>
      </c>
      <c r="C41" s="21"/>
      <c r="D41" s="10">
        <v>5518</v>
      </c>
    </row>
    <row r="42" spans="2:4" ht="18" x14ac:dyDescent="0.25">
      <c r="B42" s="13" t="s">
        <v>33</v>
      </c>
      <c r="C42" s="23"/>
      <c r="D42" s="14">
        <v>315111</v>
      </c>
    </row>
    <row r="43" spans="2:4" ht="18" x14ac:dyDescent="0.25">
      <c r="B43" s="16" t="s">
        <v>34</v>
      </c>
      <c r="C43" s="24"/>
      <c r="D43" s="17">
        <v>333646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35162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224</v>
      </c>
    </row>
    <row r="49" spans="2:4" ht="18" x14ac:dyDescent="0.25">
      <c r="B49" s="9" t="s">
        <v>39</v>
      </c>
      <c r="C49" s="21"/>
      <c r="D49" s="10">
        <v>225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51980</v>
      </c>
    </row>
    <row r="52" spans="2:4" ht="18" x14ac:dyDescent="0.25">
      <c r="B52" s="9" t="s">
        <v>42</v>
      </c>
      <c r="C52" s="21"/>
      <c r="D52" s="10">
        <v>1170</v>
      </c>
    </row>
    <row r="53" spans="2:4" ht="18" x14ac:dyDescent="0.25">
      <c r="B53" s="9" t="s">
        <v>43</v>
      </c>
      <c r="C53" s="21"/>
      <c r="D53" s="10">
        <v>4525</v>
      </c>
    </row>
    <row r="54" spans="2:4" ht="18" x14ac:dyDescent="0.25">
      <c r="B54" s="9" t="s">
        <v>44</v>
      </c>
      <c r="C54" s="21"/>
      <c r="D54" s="10">
        <v>1768</v>
      </c>
    </row>
    <row r="55" spans="2:4" ht="18" x14ac:dyDescent="0.25">
      <c r="B55" s="9" t="s">
        <v>45</v>
      </c>
      <c r="C55" s="21"/>
      <c r="D55" s="10">
        <v>252407</v>
      </c>
    </row>
    <row r="56" spans="2:4" ht="18" x14ac:dyDescent="0.25">
      <c r="B56" s="13" t="s">
        <v>46</v>
      </c>
      <c r="C56" s="23"/>
      <c r="D56" s="14">
        <v>347461</v>
      </c>
    </row>
    <row r="57" spans="2:4" ht="18" x14ac:dyDescent="0.25">
      <c r="B57" s="16" t="s">
        <v>47</v>
      </c>
      <c r="C57" s="24"/>
      <c r="D57" s="17">
        <v>-13815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-3247</v>
      </c>
    </row>
    <row r="60" spans="2:4" ht="18" x14ac:dyDescent="0.25">
      <c r="B60" s="9" t="s">
        <v>50</v>
      </c>
      <c r="C60" s="21"/>
      <c r="D60" s="10">
        <v>0</v>
      </c>
    </row>
    <row r="61" spans="2:4" ht="18" x14ac:dyDescent="0.25">
      <c r="B61" s="16" t="s">
        <v>51</v>
      </c>
      <c r="C61" s="24"/>
      <c r="D61" s="17">
        <v>-10568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-10568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-10568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-10568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193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-9397</v>
      </c>
    </row>
    <row r="85" spans="2:4" ht="18" x14ac:dyDescent="0.25">
      <c r="B85" s="13" t="s">
        <v>69</v>
      </c>
      <c r="C85" s="23"/>
      <c r="D85" s="14">
        <v>-9204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-9204</v>
      </c>
    </row>
    <row r="92" spans="2:4" ht="18" x14ac:dyDescent="0.25">
      <c r="B92" s="16" t="s">
        <v>75</v>
      </c>
      <c r="C92" s="24"/>
      <c r="D92" s="17">
        <v>-19772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-19772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47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-12622</v>
      </c>
    </row>
    <row r="108" spans="2:4" ht="18" x14ac:dyDescent="0.25">
      <c r="B108" s="13" t="s">
        <v>86</v>
      </c>
      <c r="C108" s="23"/>
      <c r="D108" s="14">
        <v>-12575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-180</v>
      </c>
    </row>
    <row r="111" spans="2:4" ht="18" x14ac:dyDescent="0.25">
      <c r="B111" s="13" t="s">
        <v>73</v>
      </c>
      <c r="C111" s="23"/>
      <c r="D111" s="14">
        <v>-180</v>
      </c>
    </row>
    <row r="112" spans="2:4" ht="18" x14ac:dyDescent="0.25">
      <c r="B112" s="16" t="s">
        <v>87</v>
      </c>
      <c r="C112" s="24"/>
      <c r="D112" s="17">
        <v>-12755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7833F-C3D1-430D-B581-66E850DB546E}">
  <sheetPr codeName="Sheet27">
    <tabColor theme="1"/>
  </sheetPr>
  <dimension ref="B2:E112"/>
  <sheetViews>
    <sheetView showGridLines="0" view="pageBreakPreview" topLeftCell="A24" zoomScale="70" zoomScaleNormal="85" workbookViewId="0">
      <selection activeCell="D42" sqref="D42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104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2912</v>
      </c>
    </row>
    <row r="9" spans="2:4" ht="18" x14ac:dyDescent="0.25">
      <c r="B9" s="9" t="s">
        <v>2</v>
      </c>
      <c r="C9" s="21"/>
      <c r="D9" s="10">
        <v>4706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281763</v>
      </c>
    </row>
    <row r="14" spans="2:4" ht="18" x14ac:dyDescent="0.25">
      <c r="B14" s="9" t="s">
        <v>7</v>
      </c>
      <c r="C14" s="21"/>
      <c r="D14" s="10">
        <v>3387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292768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3993</v>
      </c>
    </row>
    <row r="23" spans="2:5" ht="18" x14ac:dyDescent="0.25">
      <c r="B23" s="9" t="s">
        <v>16</v>
      </c>
      <c r="C23" s="21"/>
      <c r="D23" s="10">
        <v>0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111926</v>
      </c>
    </row>
    <row r="26" spans="2:5" ht="18" x14ac:dyDescent="0.25">
      <c r="B26" s="13" t="s">
        <v>18</v>
      </c>
      <c r="C26" s="23"/>
      <c r="D26" s="14">
        <v>115919</v>
      </c>
    </row>
    <row r="27" spans="2:5" ht="18" x14ac:dyDescent="0.25">
      <c r="B27" s="16" t="s">
        <v>19</v>
      </c>
      <c r="C27" s="24"/>
      <c r="D27" s="17">
        <v>176849</v>
      </c>
    </row>
    <row r="28" spans="2:5" ht="18" x14ac:dyDescent="0.25">
      <c r="B28" s="9" t="s">
        <v>20</v>
      </c>
      <c r="C28" s="21"/>
      <c r="D28" s="10">
        <v>56845</v>
      </c>
    </row>
    <row r="29" spans="2:5" ht="18" x14ac:dyDescent="0.25">
      <c r="B29" s="16" t="s">
        <v>21</v>
      </c>
      <c r="C29" s="24"/>
      <c r="D29" s="17">
        <v>120004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1149199</v>
      </c>
    </row>
    <row r="35" spans="2:4" ht="18" x14ac:dyDescent="0.25">
      <c r="B35" s="9" t="s">
        <v>27</v>
      </c>
      <c r="C35" s="21"/>
      <c r="D35" s="10">
        <v>0</v>
      </c>
    </row>
    <row r="36" spans="2:4" ht="18" x14ac:dyDescent="0.25">
      <c r="B36" s="9" t="s">
        <v>28</v>
      </c>
      <c r="C36" s="21"/>
      <c r="D36" s="10">
        <v>0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0</v>
      </c>
    </row>
    <row r="40" spans="2:4" ht="18" x14ac:dyDescent="0.25">
      <c r="B40" s="9" t="s">
        <v>32</v>
      </c>
      <c r="C40" s="21"/>
      <c r="D40" s="10">
        <v>2984</v>
      </c>
    </row>
    <row r="41" spans="2:4" ht="18" x14ac:dyDescent="0.25">
      <c r="B41" s="9" t="s">
        <v>12</v>
      </c>
      <c r="C41" s="21"/>
      <c r="D41" s="10">
        <v>18639</v>
      </c>
    </row>
    <row r="42" spans="2:4" ht="18" x14ac:dyDescent="0.25">
      <c r="B42" s="13" t="s">
        <v>33</v>
      </c>
      <c r="C42" s="23"/>
      <c r="D42" s="14">
        <v>1170822</v>
      </c>
    </row>
    <row r="43" spans="2:4" ht="18" x14ac:dyDescent="0.25">
      <c r="B43" s="16" t="s">
        <v>34</v>
      </c>
      <c r="C43" s="24"/>
      <c r="D43" s="17">
        <v>1290826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132834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899</v>
      </c>
    </row>
    <row r="49" spans="2:4" ht="18" x14ac:dyDescent="0.25">
      <c r="B49" s="9" t="s">
        <v>39</v>
      </c>
      <c r="C49" s="21"/>
      <c r="D49" s="10">
        <v>857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224948</v>
      </c>
    </row>
    <row r="52" spans="2:4" ht="18" x14ac:dyDescent="0.25">
      <c r="B52" s="9" t="s">
        <v>42</v>
      </c>
      <c r="C52" s="21"/>
      <c r="D52" s="10">
        <v>6404</v>
      </c>
    </row>
    <row r="53" spans="2:4" ht="18" x14ac:dyDescent="0.25">
      <c r="B53" s="9" t="s">
        <v>43</v>
      </c>
      <c r="C53" s="21"/>
      <c r="D53" s="10">
        <v>14506</v>
      </c>
    </row>
    <row r="54" spans="2:4" ht="18" x14ac:dyDescent="0.25">
      <c r="B54" s="9" t="s">
        <v>44</v>
      </c>
      <c r="C54" s="21"/>
      <c r="D54" s="10">
        <v>6311</v>
      </c>
    </row>
    <row r="55" spans="2:4" ht="18" x14ac:dyDescent="0.25">
      <c r="B55" s="9" t="s">
        <v>45</v>
      </c>
      <c r="C55" s="21"/>
      <c r="D55" s="10">
        <v>904219</v>
      </c>
    </row>
    <row r="56" spans="2:4" ht="18" x14ac:dyDescent="0.25">
      <c r="B56" s="13" t="s">
        <v>46</v>
      </c>
      <c r="C56" s="23"/>
      <c r="D56" s="14">
        <v>1290978</v>
      </c>
    </row>
    <row r="57" spans="2:4" ht="18" x14ac:dyDescent="0.25">
      <c r="B57" s="16" t="s">
        <v>47</v>
      </c>
      <c r="C57" s="24"/>
      <c r="D57" s="17">
        <v>-152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1236</v>
      </c>
    </row>
    <row r="60" spans="2:4" ht="18" x14ac:dyDescent="0.25">
      <c r="B60" s="9" t="s">
        <v>50</v>
      </c>
      <c r="C60" s="21"/>
      <c r="D60" s="10">
        <v>0</v>
      </c>
    </row>
    <row r="61" spans="2:4" ht="18" x14ac:dyDescent="0.25">
      <c r="B61" s="16" t="s">
        <v>51</v>
      </c>
      <c r="C61" s="24"/>
      <c r="D61" s="17">
        <v>-1388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-1388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-1388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-1388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-144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-5617</v>
      </c>
    </row>
    <row r="85" spans="2:4" ht="18" x14ac:dyDescent="0.25">
      <c r="B85" s="13" t="s">
        <v>69</v>
      </c>
      <c r="C85" s="23"/>
      <c r="D85" s="14">
        <v>-5761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74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74</v>
      </c>
    </row>
    <row r="91" spans="2:4" ht="18" x14ac:dyDescent="0.25">
      <c r="B91" s="16" t="s">
        <v>74</v>
      </c>
      <c r="C91" s="24"/>
      <c r="D91" s="17">
        <v>-5687</v>
      </c>
    </row>
    <row r="92" spans="2:4" ht="18" x14ac:dyDescent="0.25">
      <c r="B92" s="16" t="s">
        <v>75</v>
      </c>
      <c r="C92" s="24"/>
      <c r="D92" s="17">
        <v>-7075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-7075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-146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-3224</v>
      </c>
    </row>
    <row r="108" spans="2:4" ht="18" x14ac:dyDescent="0.25">
      <c r="B108" s="13" t="s">
        <v>86</v>
      </c>
      <c r="C108" s="23"/>
      <c r="D108" s="14">
        <v>-3370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-181</v>
      </c>
    </row>
    <row r="111" spans="2:4" ht="18" x14ac:dyDescent="0.25">
      <c r="B111" s="13" t="s">
        <v>73</v>
      </c>
      <c r="C111" s="23"/>
      <c r="D111" s="14">
        <v>-181</v>
      </c>
    </row>
    <row r="112" spans="2:4" ht="18" x14ac:dyDescent="0.25">
      <c r="B112" s="16" t="s">
        <v>87</v>
      </c>
      <c r="C112" s="24"/>
      <c r="D112" s="17">
        <v>-3551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F84F3-080C-4226-8D73-C829742A3C95}">
  <sheetPr codeName="Sheet29">
    <tabColor theme="1"/>
  </sheetPr>
  <dimension ref="B2:E112"/>
  <sheetViews>
    <sheetView showGridLines="0" view="pageBreakPreview" topLeftCell="B24" zoomScale="70" zoomScaleNormal="85" workbookViewId="0">
      <selection activeCell="D42" sqref="D42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105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1431</v>
      </c>
    </row>
    <row r="9" spans="2:4" ht="18" x14ac:dyDescent="0.25">
      <c r="B9" s="9" t="s">
        <v>2</v>
      </c>
      <c r="C9" s="21"/>
      <c r="D9" s="10">
        <v>2431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197723</v>
      </c>
    </row>
    <row r="14" spans="2:4" ht="18" x14ac:dyDescent="0.25">
      <c r="B14" s="9" t="s">
        <v>7</v>
      </c>
      <c r="C14" s="21"/>
      <c r="D14" s="10">
        <v>2196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203781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1601</v>
      </c>
    </row>
    <row r="23" spans="2:5" ht="18" x14ac:dyDescent="0.25">
      <c r="B23" s="9" t="s">
        <v>16</v>
      </c>
      <c r="C23" s="21"/>
      <c r="D23" s="10">
        <v>0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60496</v>
      </c>
    </row>
    <row r="26" spans="2:5" ht="18" x14ac:dyDescent="0.25">
      <c r="B26" s="13" t="s">
        <v>18</v>
      </c>
      <c r="C26" s="23"/>
      <c r="D26" s="14">
        <v>62097</v>
      </c>
    </row>
    <row r="27" spans="2:5" ht="18" x14ac:dyDescent="0.25">
      <c r="B27" s="16" t="s">
        <v>19</v>
      </c>
      <c r="C27" s="24"/>
      <c r="D27" s="17">
        <v>141684</v>
      </c>
    </row>
    <row r="28" spans="2:5" ht="18" x14ac:dyDescent="0.25">
      <c r="B28" s="9" t="s">
        <v>20</v>
      </c>
      <c r="C28" s="21"/>
      <c r="D28" s="10">
        <v>41084</v>
      </c>
    </row>
    <row r="29" spans="2:5" ht="18" x14ac:dyDescent="0.25">
      <c r="B29" s="16" t="s">
        <v>21</v>
      </c>
      <c r="C29" s="24"/>
      <c r="D29" s="17">
        <v>100600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826518</v>
      </c>
    </row>
    <row r="35" spans="2:4" ht="18" x14ac:dyDescent="0.25">
      <c r="B35" s="9" t="s">
        <v>27</v>
      </c>
      <c r="C35" s="21"/>
      <c r="D35" s="10">
        <v>0</v>
      </c>
    </row>
    <row r="36" spans="2:4" ht="18" x14ac:dyDescent="0.25">
      <c r="B36" s="9" t="s">
        <v>28</v>
      </c>
      <c r="C36" s="21"/>
      <c r="D36" s="10">
        <v>0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0</v>
      </c>
    </row>
    <row r="40" spans="2:4" ht="18" x14ac:dyDescent="0.25">
      <c r="B40" s="9" t="s">
        <v>32</v>
      </c>
      <c r="C40" s="21"/>
      <c r="D40" s="10">
        <v>2163</v>
      </c>
    </row>
    <row r="41" spans="2:4" ht="18" x14ac:dyDescent="0.25">
      <c r="B41" s="9" t="s">
        <v>12</v>
      </c>
      <c r="C41" s="21"/>
      <c r="D41" s="10">
        <v>13427</v>
      </c>
    </row>
    <row r="42" spans="2:4" ht="18" x14ac:dyDescent="0.25">
      <c r="B42" s="13" t="s">
        <v>33</v>
      </c>
      <c r="C42" s="23"/>
      <c r="D42" s="14">
        <v>842108</v>
      </c>
    </row>
    <row r="43" spans="2:4" ht="18" x14ac:dyDescent="0.25">
      <c r="B43" s="16" t="s">
        <v>34</v>
      </c>
      <c r="C43" s="24"/>
      <c r="D43" s="17">
        <v>942708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92282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675</v>
      </c>
    </row>
    <row r="49" spans="2:4" ht="18" x14ac:dyDescent="0.25">
      <c r="B49" s="9" t="s">
        <v>39</v>
      </c>
      <c r="C49" s="21"/>
      <c r="D49" s="10">
        <v>652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162909</v>
      </c>
    </row>
    <row r="52" spans="2:4" ht="18" x14ac:dyDescent="0.25">
      <c r="B52" s="9" t="s">
        <v>42</v>
      </c>
      <c r="C52" s="21"/>
      <c r="D52" s="10">
        <v>4572</v>
      </c>
    </row>
    <row r="53" spans="2:4" ht="18" x14ac:dyDescent="0.25">
      <c r="B53" s="9" t="s">
        <v>43</v>
      </c>
      <c r="C53" s="21"/>
      <c r="D53" s="10">
        <v>9453</v>
      </c>
    </row>
    <row r="54" spans="2:4" ht="18" x14ac:dyDescent="0.25">
      <c r="B54" s="9" t="s">
        <v>44</v>
      </c>
      <c r="C54" s="21"/>
      <c r="D54" s="10">
        <v>4163</v>
      </c>
    </row>
    <row r="55" spans="2:4" ht="18" x14ac:dyDescent="0.25">
      <c r="B55" s="9" t="s">
        <v>45</v>
      </c>
      <c r="C55" s="21"/>
      <c r="D55" s="10">
        <v>653841</v>
      </c>
    </row>
    <row r="56" spans="2:4" ht="18" x14ac:dyDescent="0.25">
      <c r="B56" s="13" t="s">
        <v>46</v>
      </c>
      <c r="C56" s="23"/>
      <c r="D56" s="14">
        <v>928547</v>
      </c>
    </row>
    <row r="57" spans="2:4" ht="18" x14ac:dyDescent="0.25">
      <c r="B57" s="16" t="s">
        <v>47</v>
      </c>
      <c r="C57" s="24"/>
      <c r="D57" s="17">
        <v>14161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4422</v>
      </c>
    </row>
    <row r="60" spans="2:4" ht="18" x14ac:dyDescent="0.25">
      <c r="B60" s="9" t="s">
        <v>50</v>
      </c>
      <c r="C60" s="21"/>
      <c r="D60" s="10">
        <v>0</v>
      </c>
    </row>
    <row r="61" spans="2:4" ht="18" x14ac:dyDescent="0.25">
      <c r="B61" s="16" t="s">
        <v>51</v>
      </c>
      <c r="C61" s="24"/>
      <c r="D61" s="17">
        <v>9739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9739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9739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9739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-860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831</v>
      </c>
    </row>
    <row r="85" spans="2:4" ht="18" x14ac:dyDescent="0.25">
      <c r="B85" s="13" t="s">
        <v>69</v>
      </c>
      <c r="C85" s="23"/>
      <c r="D85" s="14">
        <v>-29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-29</v>
      </c>
    </row>
    <row r="92" spans="2:4" ht="18" x14ac:dyDescent="0.25">
      <c r="B92" s="16" t="s">
        <v>75</v>
      </c>
      <c r="C92" s="24"/>
      <c r="D92" s="17">
        <v>9710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9710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-861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3222</v>
      </c>
    </row>
    <row r="108" spans="2:4" ht="18" x14ac:dyDescent="0.25">
      <c r="B108" s="13" t="s">
        <v>86</v>
      </c>
      <c r="C108" s="23"/>
      <c r="D108" s="14">
        <v>2361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-254</v>
      </c>
    </row>
    <row r="111" spans="2:4" ht="18" x14ac:dyDescent="0.25">
      <c r="B111" s="13" t="s">
        <v>73</v>
      </c>
      <c r="C111" s="23"/>
      <c r="D111" s="14">
        <v>-254</v>
      </c>
    </row>
    <row r="112" spans="2:4" ht="18" x14ac:dyDescent="0.25">
      <c r="B112" s="16" t="s">
        <v>87</v>
      </c>
      <c r="C112" s="24"/>
      <c r="D112" s="17">
        <v>2107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91DAC-1F7D-4842-ABC8-E44F891378EC}">
  <sheetPr codeName="Sheet31">
    <tabColor theme="1"/>
  </sheetPr>
  <dimension ref="B2:E112"/>
  <sheetViews>
    <sheetView showGridLines="0" view="pageBreakPreview" topLeftCell="A24" zoomScale="70" zoomScaleNormal="85" workbookViewId="0">
      <selection activeCell="D42" sqref="D42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106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495</v>
      </c>
    </row>
    <row r="9" spans="2:4" ht="18" x14ac:dyDescent="0.25">
      <c r="B9" s="9" t="s">
        <v>2</v>
      </c>
      <c r="C9" s="21"/>
      <c r="D9" s="10">
        <v>1178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122823</v>
      </c>
    </row>
    <row r="14" spans="2:4" ht="18" x14ac:dyDescent="0.25">
      <c r="B14" s="9" t="s">
        <v>7</v>
      </c>
      <c r="C14" s="21"/>
      <c r="D14" s="10">
        <v>1266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125762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339</v>
      </c>
    </row>
    <row r="23" spans="2:5" ht="18" x14ac:dyDescent="0.25">
      <c r="B23" s="9" t="s">
        <v>16</v>
      </c>
      <c r="C23" s="21"/>
      <c r="D23" s="10">
        <v>0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29036</v>
      </c>
    </row>
    <row r="26" spans="2:5" ht="18" x14ac:dyDescent="0.25">
      <c r="B26" s="13" t="s">
        <v>18</v>
      </c>
      <c r="C26" s="23"/>
      <c r="D26" s="14">
        <v>29375</v>
      </c>
    </row>
    <row r="27" spans="2:5" ht="18" x14ac:dyDescent="0.25">
      <c r="B27" s="16" t="s">
        <v>19</v>
      </c>
      <c r="C27" s="24"/>
      <c r="D27" s="17">
        <v>96387</v>
      </c>
    </row>
    <row r="28" spans="2:5" ht="18" x14ac:dyDescent="0.25">
      <c r="B28" s="9" t="s">
        <v>20</v>
      </c>
      <c r="C28" s="21"/>
      <c r="D28" s="10">
        <v>19129</v>
      </c>
    </row>
    <row r="29" spans="2:5" ht="18" x14ac:dyDescent="0.25">
      <c r="B29" s="16" t="s">
        <v>21</v>
      </c>
      <c r="C29" s="24"/>
      <c r="D29" s="17">
        <v>77258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520066</v>
      </c>
    </row>
    <row r="35" spans="2:4" ht="18" x14ac:dyDescent="0.25">
      <c r="B35" s="9" t="s">
        <v>27</v>
      </c>
      <c r="C35" s="21"/>
      <c r="D35" s="10">
        <v>0</v>
      </c>
    </row>
    <row r="36" spans="2:4" ht="18" x14ac:dyDescent="0.25">
      <c r="B36" s="9" t="s">
        <v>28</v>
      </c>
      <c r="C36" s="21"/>
      <c r="D36" s="10">
        <v>0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0</v>
      </c>
    </row>
    <row r="40" spans="2:4" ht="18" x14ac:dyDescent="0.25">
      <c r="B40" s="9" t="s">
        <v>32</v>
      </c>
      <c r="C40" s="21"/>
      <c r="D40" s="10">
        <v>1365</v>
      </c>
    </row>
    <row r="41" spans="2:4" ht="18" x14ac:dyDescent="0.25">
      <c r="B41" s="9" t="s">
        <v>12</v>
      </c>
      <c r="C41" s="21"/>
      <c r="D41" s="10">
        <v>8426</v>
      </c>
    </row>
    <row r="42" spans="2:4" ht="18" x14ac:dyDescent="0.25">
      <c r="B42" s="13" t="s">
        <v>33</v>
      </c>
      <c r="C42" s="23"/>
      <c r="D42" s="14">
        <v>529857</v>
      </c>
    </row>
    <row r="43" spans="2:4" ht="18" x14ac:dyDescent="0.25">
      <c r="B43" s="16" t="s">
        <v>34</v>
      </c>
      <c r="C43" s="24"/>
      <c r="D43" s="17">
        <v>607115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59915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451</v>
      </c>
    </row>
    <row r="49" spans="2:4" ht="18" x14ac:dyDescent="0.25">
      <c r="B49" s="9" t="s">
        <v>39</v>
      </c>
      <c r="C49" s="21"/>
      <c r="D49" s="10">
        <v>331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99663</v>
      </c>
    </row>
    <row r="52" spans="2:4" ht="18" x14ac:dyDescent="0.25">
      <c r="B52" s="9" t="s">
        <v>42</v>
      </c>
      <c r="C52" s="21"/>
      <c r="D52" s="10">
        <v>2804</v>
      </c>
    </row>
    <row r="53" spans="2:4" ht="18" x14ac:dyDescent="0.25">
      <c r="B53" s="9" t="s">
        <v>43</v>
      </c>
      <c r="C53" s="21"/>
      <c r="D53" s="10">
        <v>5505</v>
      </c>
    </row>
    <row r="54" spans="2:4" ht="18" x14ac:dyDescent="0.25">
      <c r="B54" s="9" t="s">
        <v>44</v>
      </c>
      <c r="C54" s="21"/>
      <c r="D54" s="10">
        <v>3137</v>
      </c>
    </row>
    <row r="55" spans="2:4" ht="18" x14ac:dyDescent="0.25">
      <c r="B55" s="9" t="s">
        <v>45</v>
      </c>
      <c r="C55" s="21"/>
      <c r="D55" s="10">
        <v>415950</v>
      </c>
    </row>
    <row r="56" spans="2:4" ht="18" x14ac:dyDescent="0.25">
      <c r="B56" s="13" t="s">
        <v>46</v>
      </c>
      <c r="C56" s="23"/>
      <c r="D56" s="14">
        <v>587756</v>
      </c>
    </row>
    <row r="57" spans="2:4" ht="18" x14ac:dyDescent="0.25">
      <c r="B57" s="16" t="s">
        <v>47</v>
      </c>
      <c r="C57" s="24"/>
      <c r="D57" s="17">
        <v>19359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5829</v>
      </c>
    </row>
    <row r="60" spans="2:4" ht="18" x14ac:dyDescent="0.25">
      <c r="B60" s="9" t="s">
        <v>50</v>
      </c>
      <c r="C60" s="21"/>
      <c r="D60" s="10">
        <v>0</v>
      </c>
    </row>
    <row r="61" spans="2:4" ht="18" x14ac:dyDescent="0.25">
      <c r="B61" s="16" t="s">
        <v>51</v>
      </c>
      <c r="C61" s="24"/>
      <c r="D61" s="17">
        <v>13530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13530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13530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13530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-1119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3209</v>
      </c>
    </row>
    <row r="85" spans="2:4" ht="18" x14ac:dyDescent="0.25">
      <c r="B85" s="13" t="s">
        <v>69</v>
      </c>
      <c r="C85" s="23"/>
      <c r="D85" s="14">
        <v>2090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2090</v>
      </c>
    </row>
    <row r="92" spans="2:4" ht="18" x14ac:dyDescent="0.25">
      <c r="B92" s="16" t="s">
        <v>75</v>
      </c>
      <c r="C92" s="24"/>
      <c r="D92" s="17">
        <v>15620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15620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-1121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5600</v>
      </c>
    </row>
    <row r="108" spans="2:4" ht="18" x14ac:dyDescent="0.25">
      <c r="B108" s="13" t="s">
        <v>86</v>
      </c>
      <c r="C108" s="23"/>
      <c r="D108" s="14">
        <v>4479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-254</v>
      </c>
    </row>
    <row r="111" spans="2:4" ht="18" x14ac:dyDescent="0.25">
      <c r="B111" s="13" t="s">
        <v>73</v>
      </c>
      <c r="C111" s="23"/>
      <c r="D111" s="14">
        <v>-254</v>
      </c>
    </row>
    <row r="112" spans="2:4" ht="18" x14ac:dyDescent="0.25">
      <c r="B112" s="16" t="s">
        <v>87</v>
      </c>
      <c r="C112" s="24"/>
      <c r="D112" s="17">
        <v>4225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C0B7F-A361-4B4B-BF30-2A6E2438F7EE}">
  <sheetPr codeName="Sheet33">
    <tabColor theme="1"/>
  </sheetPr>
  <dimension ref="B2:E112"/>
  <sheetViews>
    <sheetView showGridLines="0" view="pageBreakPreview" topLeftCell="B23" zoomScale="70" zoomScaleNormal="85" workbookViewId="0">
      <selection activeCell="D42" sqref="D42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107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118</v>
      </c>
    </row>
    <row r="9" spans="2:4" ht="18" x14ac:dyDescent="0.25">
      <c r="B9" s="9" t="s">
        <v>2</v>
      </c>
      <c r="C9" s="21"/>
      <c r="D9" s="10">
        <v>410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58813</v>
      </c>
    </row>
    <row r="14" spans="2:4" ht="18" x14ac:dyDescent="0.25">
      <c r="B14" s="9" t="s">
        <v>7</v>
      </c>
      <c r="C14" s="21"/>
      <c r="D14" s="10">
        <v>507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59848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45</v>
      </c>
    </row>
    <row r="23" spans="2:5" ht="18" x14ac:dyDescent="0.25">
      <c r="B23" s="9" t="s">
        <v>16</v>
      </c>
      <c r="C23" s="21"/>
      <c r="D23" s="10">
        <v>0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10833</v>
      </c>
    </row>
    <row r="26" spans="2:5" ht="18" x14ac:dyDescent="0.25">
      <c r="B26" s="13" t="s">
        <v>18</v>
      </c>
      <c r="C26" s="23"/>
      <c r="D26" s="14">
        <v>10878</v>
      </c>
    </row>
    <row r="27" spans="2:5" ht="18" x14ac:dyDescent="0.25">
      <c r="B27" s="16" t="s">
        <v>19</v>
      </c>
      <c r="C27" s="24"/>
      <c r="D27" s="17">
        <v>48970</v>
      </c>
    </row>
    <row r="28" spans="2:5" ht="18" x14ac:dyDescent="0.25">
      <c r="B28" s="9" t="s">
        <v>20</v>
      </c>
      <c r="C28" s="21"/>
      <c r="D28" s="10">
        <v>5187</v>
      </c>
    </row>
    <row r="29" spans="2:5" ht="18" x14ac:dyDescent="0.25">
      <c r="B29" s="16" t="s">
        <v>21</v>
      </c>
      <c r="C29" s="24"/>
      <c r="D29" s="17">
        <v>43783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232244</v>
      </c>
    </row>
    <row r="35" spans="2:4" ht="18" x14ac:dyDescent="0.25">
      <c r="B35" s="9" t="s">
        <v>27</v>
      </c>
      <c r="C35" s="21"/>
      <c r="D35" s="10">
        <v>0</v>
      </c>
    </row>
    <row r="36" spans="2:4" ht="18" x14ac:dyDescent="0.25">
      <c r="B36" s="9" t="s">
        <v>28</v>
      </c>
      <c r="C36" s="21"/>
      <c r="D36" s="10">
        <v>0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0</v>
      </c>
    </row>
    <row r="40" spans="2:4" ht="18" x14ac:dyDescent="0.25">
      <c r="B40" s="9" t="s">
        <v>32</v>
      </c>
      <c r="C40" s="21"/>
      <c r="D40" s="10">
        <v>654</v>
      </c>
    </row>
    <row r="41" spans="2:4" ht="18" x14ac:dyDescent="0.25">
      <c r="B41" s="9" t="s">
        <v>12</v>
      </c>
      <c r="C41" s="21"/>
      <c r="D41" s="10">
        <v>3710</v>
      </c>
    </row>
    <row r="42" spans="2:4" ht="18" x14ac:dyDescent="0.25">
      <c r="B42" s="13" t="s">
        <v>33</v>
      </c>
      <c r="C42" s="23"/>
      <c r="D42" s="14">
        <v>236608</v>
      </c>
    </row>
    <row r="43" spans="2:4" ht="18" x14ac:dyDescent="0.25">
      <c r="B43" s="16" t="s">
        <v>34</v>
      </c>
      <c r="C43" s="24"/>
      <c r="D43" s="17">
        <v>280391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31953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224</v>
      </c>
    </row>
    <row r="49" spans="2:4" ht="18" x14ac:dyDescent="0.25">
      <c r="B49" s="9" t="s">
        <v>39</v>
      </c>
      <c r="C49" s="21"/>
      <c r="D49" s="10">
        <v>127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42306</v>
      </c>
    </row>
    <row r="52" spans="2:4" ht="18" x14ac:dyDescent="0.25">
      <c r="B52" s="9" t="s">
        <v>42</v>
      </c>
      <c r="C52" s="21"/>
      <c r="D52" s="10">
        <v>976</v>
      </c>
    </row>
    <row r="53" spans="2:4" ht="18" x14ac:dyDescent="0.25">
      <c r="B53" s="9" t="s">
        <v>43</v>
      </c>
      <c r="C53" s="21"/>
      <c r="D53" s="10">
        <v>3500</v>
      </c>
    </row>
    <row r="54" spans="2:4" ht="18" x14ac:dyDescent="0.25">
      <c r="B54" s="9" t="s">
        <v>44</v>
      </c>
      <c r="C54" s="21"/>
      <c r="D54" s="10">
        <v>1157</v>
      </c>
    </row>
    <row r="55" spans="2:4" ht="18" x14ac:dyDescent="0.25">
      <c r="B55" s="9" t="s">
        <v>45</v>
      </c>
      <c r="C55" s="21"/>
      <c r="D55" s="10">
        <v>187085</v>
      </c>
    </row>
    <row r="56" spans="2:4" ht="18" x14ac:dyDescent="0.25">
      <c r="B56" s="13" t="s">
        <v>46</v>
      </c>
      <c r="C56" s="23"/>
      <c r="D56" s="14">
        <v>267328</v>
      </c>
    </row>
    <row r="57" spans="2:4" ht="18" x14ac:dyDescent="0.25">
      <c r="B57" s="16" t="s">
        <v>47</v>
      </c>
      <c r="C57" s="24"/>
      <c r="D57" s="17">
        <v>13063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3636</v>
      </c>
    </row>
    <row r="60" spans="2:4" ht="18" x14ac:dyDescent="0.25">
      <c r="B60" s="9" t="s">
        <v>50</v>
      </c>
      <c r="C60" s="21"/>
      <c r="D60" s="10">
        <v>0</v>
      </c>
    </row>
    <row r="61" spans="2:4" ht="18" x14ac:dyDescent="0.25">
      <c r="B61" s="16" t="s">
        <v>51</v>
      </c>
      <c r="C61" s="24"/>
      <c r="D61" s="17">
        <v>9427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9427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9427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9427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-563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2034</v>
      </c>
    </row>
    <row r="85" spans="2:4" ht="18" x14ac:dyDescent="0.25">
      <c r="B85" s="13" t="s">
        <v>69</v>
      </c>
      <c r="C85" s="23"/>
      <c r="D85" s="14">
        <v>1471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1471</v>
      </c>
    </row>
    <row r="92" spans="2:4" ht="18" x14ac:dyDescent="0.25">
      <c r="B92" s="16" t="s">
        <v>75</v>
      </c>
      <c r="C92" s="24"/>
      <c r="D92" s="17">
        <v>10898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10898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-564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4426</v>
      </c>
    </row>
    <row r="108" spans="2:4" ht="18" x14ac:dyDescent="0.25">
      <c r="B108" s="13" t="s">
        <v>86</v>
      </c>
      <c r="C108" s="23"/>
      <c r="D108" s="14">
        <v>3862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-255</v>
      </c>
    </row>
    <row r="111" spans="2:4" ht="18" x14ac:dyDescent="0.25">
      <c r="B111" s="13" t="s">
        <v>73</v>
      </c>
      <c r="C111" s="23"/>
      <c r="D111" s="14">
        <v>-255</v>
      </c>
    </row>
    <row r="112" spans="2:4" ht="18" x14ac:dyDescent="0.25">
      <c r="B112" s="16" t="s">
        <v>87</v>
      </c>
      <c r="C112" s="24"/>
      <c r="D112" s="17">
        <v>3607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E2E34-4716-4FD6-8375-6959E4D88389}">
  <sheetPr codeName="Sheet35">
    <tabColor theme="1"/>
  </sheetPr>
  <dimension ref="B2:E112"/>
  <sheetViews>
    <sheetView showGridLines="0" view="pageBreakPreview" zoomScale="70" zoomScaleNormal="85" workbookViewId="0">
      <selection activeCell="C9" sqref="C9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108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343</v>
      </c>
    </row>
    <row r="9" spans="2:4" ht="18" x14ac:dyDescent="0.25">
      <c r="B9" s="9" t="s">
        <v>2</v>
      </c>
      <c r="C9" s="21"/>
      <c r="D9" s="10">
        <v>480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184103</v>
      </c>
    </row>
    <row r="14" spans="2:4" ht="18" x14ac:dyDescent="0.25">
      <c r="B14" s="9" t="s">
        <v>7</v>
      </c>
      <c r="C14" s="21"/>
      <c r="D14" s="10">
        <v>389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185315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708</v>
      </c>
    </row>
    <row r="23" spans="2:5" ht="18" x14ac:dyDescent="0.25">
      <c r="B23" s="9" t="s">
        <v>16</v>
      </c>
      <c r="C23" s="21"/>
      <c r="D23" s="10">
        <v>0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52931</v>
      </c>
    </row>
    <row r="26" spans="2:5" ht="18" x14ac:dyDescent="0.25">
      <c r="B26" s="13" t="s">
        <v>18</v>
      </c>
      <c r="C26" s="23"/>
      <c r="D26" s="14">
        <v>53639</v>
      </c>
    </row>
    <row r="27" spans="2:5" ht="18" x14ac:dyDescent="0.25">
      <c r="B27" s="16" t="s">
        <v>19</v>
      </c>
      <c r="C27" s="24"/>
      <c r="D27" s="17">
        <v>131676</v>
      </c>
    </row>
    <row r="28" spans="2:5" ht="18" x14ac:dyDescent="0.25">
      <c r="B28" s="9" t="s">
        <v>20</v>
      </c>
      <c r="C28" s="21"/>
      <c r="D28" s="10">
        <v>-8563</v>
      </c>
    </row>
    <row r="29" spans="2:5" ht="18" x14ac:dyDescent="0.25">
      <c r="B29" s="16" t="s">
        <v>21</v>
      </c>
      <c r="C29" s="24"/>
      <c r="D29" s="17">
        <v>140239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803288</v>
      </c>
    </row>
    <row r="35" spans="2:4" ht="18" x14ac:dyDescent="0.25">
      <c r="B35" s="9" t="s">
        <v>27</v>
      </c>
      <c r="C35" s="21"/>
      <c r="D35" s="10">
        <v>0</v>
      </c>
    </row>
    <row r="36" spans="2:4" ht="18" x14ac:dyDescent="0.25">
      <c r="B36" s="9" t="s">
        <v>28</v>
      </c>
      <c r="C36" s="21"/>
      <c r="D36" s="10">
        <v>0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0</v>
      </c>
    </row>
    <row r="40" spans="2:4" ht="18" x14ac:dyDescent="0.25">
      <c r="B40" s="9" t="s">
        <v>32</v>
      </c>
      <c r="C40" s="21"/>
      <c r="D40" s="10">
        <v>2444</v>
      </c>
    </row>
    <row r="41" spans="2:4" ht="18" x14ac:dyDescent="0.25">
      <c r="B41" s="9" t="s">
        <v>12</v>
      </c>
      <c r="C41" s="21"/>
      <c r="D41" s="10">
        <v>19637</v>
      </c>
    </row>
    <row r="42" spans="2:4" ht="18" x14ac:dyDescent="0.25">
      <c r="B42" s="13" t="s">
        <v>33</v>
      </c>
      <c r="C42" s="23"/>
      <c r="D42" s="14">
        <v>825369</v>
      </c>
    </row>
    <row r="43" spans="2:4" ht="18" x14ac:dyDescent="0.25">
      <c r="B43" s="16" t="s">
        <v>34</v>
      </c>
      <c r="C43" s="24"/>
      <c r="D43" s="17">
        <v>965608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110326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896</v>
      </c>
    </row>
    <row r="49" spans="2:4" ht="18" x14ac:dyDescent="0.25">
      <c r="B49" s="9" t="s">
        <v>39</v>
      </c>
      <c r="C49" s="21"/>
      <c r="D49" s="10">
        <v>919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186616</v>
      </c>
    </row>
    <row r="52" spans="2:4" ht="18" x14ac:dyDescent="0.25">
      <c r="B52" s="9" t="s">
        <v>42</v>
      </c>
      <c r="C52" s="21"/>
      <c r="D52" s="10">
        <v>3432</v>
      </c>
    </row>
    <row r="53" spans="2:4" ht="18" x14ac:dyDescent="0.25">
      <c r="B53" s="9" t="s">
        <v>43</v>
      </c>
      <c r="C53" s="21"/>
      <c r="D53" s="10">
        <v>7959</v>
      </c>
    </row>
    <row r="54" spans="2:4" ht="18" x14ac:dyDescent="0.25">
      <c r="B54" s="9" t="s">
        <v>44</v>
      </c>
      <c r="C54" s="21"/>
      <c r="D54" s="10">
        <v>4779</v>
      </c>
    </row>
    <row r="55" spans="2:4" ht="18" x14ac:dyDescent="0.25">
      <c r="B55" s="9" t="s">
        <v>45</v>
      </c>
      <c r="C55" s="21"/>
      <c r="D55" s="10">
        <v>624464</v>
      </c>
    </row>
    <row r="56" spans="2:4" ht="18" x14ac:dyDescent="0.25">
      <c r="B56" s="13" t="s">
        <v>46</v>
      </c>
      <c r="C56" s="23"/>
      <c r="D56" s="14">
        <v>939391</v>
      </c>
    </row>
    <row r="57" spans="2:4" ht="18" x14ac:dyDescent="0.25">
      <c r="B57" s="16" t="s">
        <v>47</v>
      </c>
      <c r="C57" s="24"/>
      <c r="D57" s="17">
        <v>26217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7441</v>
      </c>
    </row>
    <row r="60" spans="2:4" ht="18" x14ac:dyDescent="0.25">
      <c r="B60" s="9" t="s">
        <v>50</v>
      </c>
      <c r="C60" s="21"/>
      <c r="D60" s="10">
        <v>0</v>
      </c>
    </row>
    <row r="61" spans="2:4" ht="18" x14ac:dyDescent="0.25">
      <c r="B61" s="16" t="s">
        <v>51</v>
      </c>
      <c r="C61" s="24"/>
      <c r="D61" s="17">
        <v>18776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18776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18776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18776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-59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4193</v>
      </c>
    </row>
    <row r="85" spans="2:4" ht="18" x14ac:dyDescent="0.25">
      <c r="B85" s="13" t="s">
        <v>69</v>
      </c>
      <c r="C85" s="23"/>
      <c r="D85" s="14">
        <v>4134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24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24</v>
      </c>
    </row>
    <row r="91" spans="2:4" ht="18" x14ac:dyDescent="0.25">
      <c r="B91" s="16" t="s">
        <v>74</v>
      </c>
      <c r="C91" s="24"/>
      <c r="D91" s="17">
        <v>4158</v>
      </c>
    </row>
    <row r="92" spans="2:4" ht="18" x14ac:dyDescent="0.25">
      <c r="B92" s="16" t="s">
        <v>75</v>
      </c>
      <c r="C92" s="24"/>
      <c r="D92" s="17">
        <v>22934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22934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-2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2392</v>
      </c>
    </row>
    <row r="108" spans="2:4" ht="18" x14ac:dyDescent="0.25">
      <c r="B108" s="13" t="s">
        <v>86</v>
      </c>
      <c r="C108" s="23"/>
      <c r="D108" s="14">
        <v>2390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-254</v>
      </c>
    </row>
    <row r="111" spans="2:4" ht="18" x14ac:dyDescent="0.25">
      <c r="B111" s="13" t="s">
        <v>73</v>
      </c>
      <c r="C111" s="23"/>
      <c r="D111" s="14">
        <v>-254</v>
      </c>
    </row>
    <row r="112" spans="2:4" ht="18" x14ac:dyDescent="0.25">
      <c r="B112" s="16" t="s">
        <v>87</v>
      </c>
      <c r="C112" s="24"/>
      <c r="D112" s="17">
        <v>2136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90C65-2EFB-4570-9B9B-3D05F9F68A80}">
  <sheetPr codeName="Sheet37">
    <tabColor theme="1"/>
  </sheetPr>
  <dimension ref="B2:E112"/>
  <sheetViews>
    <sheetView showGridLines="0" view="pageBreakPreview" topLeftCell="A24" zoomScale="70" zoomScaleNormal="85" workbookViewId="0">
      <selection activeCell="D42" sqref="D42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109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255</v>
      </c>
    </row>
    <row r="9" spans="2:4" ht="18" x14ac:dyDescent="0.25">
      <c r="B9" s="9" t="s">
        <v>2</v>
      </c>
      <c r="C9" s="21"/>
      <c r="D9" s="10">
        <v>330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135034</v>
      </c>
    </row>
    <row r="14" spans="2:4" ht="18" x14ac:dyDescent="0.25">
      <c r="B14" s="9" t="s">
        <v>7</v>
      </c>
      <c r="C14" s="21"/>
      <c r="D14" s="10">
        <v>111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135730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656</v>
      </c>
    </row>
    <row r="23" spans="2:5" ht="18" x14ac:dyDescent="0.25">
      <c r="B23" s="9" t="s">
        <v>16</v>
      </c>
      <c r="C23" s="21"/>
      <c r="D23" s="10">
        <v>0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40300</v>
      </c>
    </row>
    <row r="26" spans="2:5" ht="18" x14ac:dyDescent="0.25">
      <c r="B26" s="13" t="s">
        <v>18</v>
      </c>
      <c r="C26" s="23"/>
      <c r="D26" s="14">
        <v>40956</v>
      </c>
    </row>
    <row r="27" spans="2:5" ht="18" x14ac:dyDescent="0.25">
      <c r="B27" s="16" t="s">
        <v>19</v>
      </c>
      <c r="C27" s="24"/>
      <c r="D27" s="17">
        <v>94774</v>
      </c>
    </row>
    <row r="28" spans="2:5" ht="18" x14ac:dyDescent="0.25">
      <c r="B28" s="9" t="s">
        <v>20</v>
      </c>
      <c r="C28" s="21"/>
      <c r="D28" s="10">
        <v>-12316</v>
      </c>
    </row>
    <row r="29" spans="2:5" ht="18" x14ac:dyDescent="0.25">
      <c r="B29" s="16" t="s">
        <v>21</v>
      </c>
      <c r="C29" s="24"/>
      <c r="D29" s="17">
        <v>107090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554301</v>
      </c>
    </row>
    <row r="35" spans="2:4" ht="18" x14ac:dyDescent="0.25">
      <c r="B35" s="9" t="s">
        <v>27</v>
      </c>
      <c r="C35" s="21"/>
      <c r="D35" s="10">
        <v>0</v>
      </c>
    </row>
    <row r="36" spans="2:4" ht="18" x14ac:dyDescent="0.25">
      <c r="B36" s="9" t="s">
        <v>28</v>
      </c>
      <c r="C36" s="21"/>
      <c r="D36" s="10">
        <v>0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0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13879</v>
      </c>
    </row>
    <row r="42" spans="2:4" ht="18" x14ac:dyDescent="0.25">
      <c r="B42" s="13" t="s">
        <v>33</v>
      </c>
      <c r="C42" s="23"/>
      <c r="D42" s="14">
        <v>569957</v>
      </c>
    </row>
    <row r="43" spans="2:4" ht="18" x14ac:dyDescent="0.25">
      <c r="B43" s="16" t="s">
        <v>34</v>
      </c>
      <c r="C43" s="24"/>
      <c r="D43" s="17">
        <v>677047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77071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672</v>
      </c>
    </row>
    <row r="49" spans="2:4" ht="18" x14ac:dyDescent="0.25">
      <c r="B49" s="9" t="s">
        <v>39</v>
      </c>
      <c r="C49" s="21"/>
      <c r="D49" s="10">
        <v>683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115785</v>
      </c>
    </row>
    <row r="52" spans="2:4" ht="18" x14ac:dyDescent="0.25">
      <c r="B52" s="9" t="s">
        <v>42</v>
      </c>
      <c r="C52" s="21"/>
      <c r="D52" s="10">
        <v>1848</v>
      </c>
    </row>
    <row r="53" spans="2:4" ht="18" x14ac:dyDescent="0.25">
      <c r="B53" s="9" t="s">
        <v>43</v>
      </c>
      <c r="C53" s="21"/>
      <c r="D53" s="10">
        <v>4165</v>
      </c>
    </row>
    <row r="54" spans="2:4" ht="18" x14ac:dyDescent="0.25">
      <c r="B54" s="9" t="s">
        <v>44</v>
      </c>
      <c r="C54" s="21"/>
      <c r="D54" s="10">
        <v>3172</v>
      </c>
    </row>
    <row r="55" spans="2:4" ht="18" x14ac:dyDescent="0.25">
      <c r="B55" s="9" t="s">
        <v>45</v>
      </c>
      <c r="C55" s="21"/>
      <c r="D55" s="10">
        <v>442489</v>
      </c>
    </row>
    <row r="56" spans="2:4" ht="18" x14ac:dyDescent="0.25">
      <c r="B56" s="13" t="s">
        <v>46</v>
      </c>
      <c r="C56" s="23"/>
      <c r="D56" s="14">
        <v>645885</v>
      </c>
    </row>
    <row r="57" spans="2:4" ht="18" x14ac:dyDescent="0.25">
      <c r="B57" s="16" t="s">
        <v>47</v>
      </c>
      <c r="C57" s="24"/>
      <c r="D57" s="17">
        <v>31162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8387</v>
      </c>
    </row>
    <row r="60" spans="2:4" ht="18" x14ac:dyDescent="0.25">
      <c r="B60" s="9" t="s">
        <v>50</v>
      </c>
      <c r="C60" s="21"/>
      <c r="D60" s="10">
        <v>0</v>
      </c>
    </row>
    <row r="61" spans="2:4" ht="18" x14ac:dyDescent="0.25">
      <c r="B61" s="16" t="s">
        <v>51</v>
      </c>
      <c r="C61" s="24"/>
      <c r="D61" s="17">
        <v>22775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22775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22775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22775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-49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909</v>
      </c>
    </row>
    <row r="85" spans="2:4" ht="18" x14ac:dyDescent="0.25">
      <c r="B85" s="13" t="s">
        <v>69</v>
      </c>
      <c r="C85" s="23"/>
      <c r="D85" s="14">
        <v>860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860</v>
      </c>
    </row>
    <row r="92" spans="2:4" ht="18" x14ac:dyDescent="0.25">
      <c r="B92" s="16" t="s">
        <v>75</v>
      </c>
      <c r="C92" s="24"/>
      <c r="D92" s="17">
        <v>23635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23635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8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-892</v>
      </c>
    </row>
    <row r="108" spans="2:4" ht="18" x14ac:dyDescent="0.25">
      <c r="B108" s="13" t="s">
        <v>86</v>
      </c>
      <c r="C108" s="23"/>
      <c r="D108" s="14">
        <v>-884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-278</v>
      </c>
    </row>
    <row r="111" spans="2:4" ht="18" x14ac:dyDescent="0.25">
      <c r="B111" s="13" t="s">
        <v>73</v>
      </c>
      <c r="C111" s="23"/>
      <c r="D111" s="14">
        <v>-278</v>
      </c>
    </row>
    <row r="112" spans="2:4" ht="18" x14ac:dyDescent="0.25">
      <c r="B112" s="16" t="s">
        <v>87</v>
      </c>
      <c r="C112" s="24"/>
      <c r="D112" s="17">
        <v>-1162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B0B55-63A3-4D13-AFAE-F352501E9F1B}">
  <sheetPr codeName="Sheet39">
    <tabColor theme="1"/>
  </sheetPr>
  <dimension ref="B2:E112"/>
  <sheetViews>
    <sheetView showGridLines="0" view="pageBreakPreview" topLeftCell="A21" zoomScale="70" zoomScaleNormal="85" workbookViewId="0">
      <selection activeCell="D42" sqref="D42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110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179</v>
      </c>
    </row>
    <row r="9" spans="2:4" ht="18" x14ac:dyDescent="0.25">
      <c r="B9" s="9" t="s">
        <v>2</v>
      </c>
      <c r="C9" s="21"/>
      <c r="D9" s="10">
        <v>212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90793</v>
      </c>
    </row>
    <row r="14" spans="2:4" ht="18" x14ac:dyDescent="0.25">
      <c r="B14" s="9" t="s">
        <v>7</v>
      </c>
      <c r="C14" s="21"/>
      <c r="D14" s="10">
        <v>21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91205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615</v>
      </c>
    </row>
    <row r="23" spans="2:5" ht="18" x14ac:dyDescent="0.25">
      <c r="B23" s="9" t="s">
        <v>16</v>
      </c>
      <c r="C23" s="21"/>
      <c r="D23" s="10">
        <v>0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27629</v>
      </c>
    </row>
    <row r="26" spans="2:5" ht="18" x14ac:dyDescent="0.25">
      <c r="B26" s="13" t="s">
        <v>18</v>
      </c>
      <c r="C26" s="23"/>
      <c r="D26" s="14">
        <v>28244</v>
      </c>
    </row>
    <row r="27" spans="2:5" ht="18" x14ac:dyDescent="0.25">
      <c r="B27" s="16" t="s">
        <v>19</v>
      </c>
      <c r="C27" s="24"/>
      <c r="D27" s="17">
        <v>62961</v>
      </c>
    </row>
    <row r="28" spans="2:5" ht="18" x14ac:dyDescent="0.25">
      <c r="B28" s="9" t="s">
        <v>20</v>
      </c>
      <c r="C28" s="21"/>
      <c r="D28" s="10">
        <v>-13840</v>
      </c>
    </row>
    <row r="29" spans="2:5" ht="18" x14ac:dyDescent="0.25">
      <c r="B29" s="16" t="s">
        <v>21</v>
      </c>
      <c r="C29" s="24"/>
      <c r="D29" s="17">
        <v>76801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339773</v>
      </c>
    </row>
    <row r="35" spans="2:4" ht="18" x14ac:dyDescent="0.25">
      <c r="B35" s="9" t="s">
        <v>27</v>
      </c>
      <c r="C35" s="21"/>
      <c r="D35" s="10">
        <v>0</v>
      </c>
    </row>
    <row r="36" spans="2:4" ht="18" x14ac:dyDescent="0.25">
      <c r="B36" s="9" t="s">
        <v>28</v>
      </c>
      <c r="C36" s="21"/>
      <c r="D36" s="10">
        <v>0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0</v>
      </c>
    </row>
    <row r="40" spans="2:4" ht="18" x14ac:dyDescent="0.25">
      <c r="B40" s="9" t="s">
        <v>32</v>
      </c>
      <c r="C40" s="21"/>
      <c r="D40" s="10">
        <v>1227</v>
      </c>
    </row>
    <row r="41" spans="2:4" ht="18" x14ac:dyDescent="0.25">
      <c r="B41" s="9" t="s">
        <v>12</v>
      </c>
      <c r="C41" s="21"/>
      <c r="D41" s="10">
        <v>8839</v>
      </c>
    </row>
    <row r="42" spans="2:4" ht="18" x14ac:dyDescent="0.25">
      <c r="B42" s="13" t="s">
        <v>33</v>
      </c>
      <c r="C42" s="23"/>
      <c r="D42" s="14">
        <v>349839</v>
      </c>
    </row>
    <row r="43" spans="2:4" ht="18" x14ac:dyDescent="0.25">
      <c r="B43" s="16" t="s">
        <v>34</v>
      </c>
      <c r="C43" s="24"/>
      <c r="D43" s="17">
        <v>426640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50585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448</v>
      </c>
    </row>
    <row r="49" spans="2:4" ht="18" x14ac:dyDescent="0.25">
      <c r="B49" s="9" t="s">
        <v>39</v>
      </c>
      <c r="C49" s="21"/>
      <c r="D49" s="10">
        <v>512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58148</v>
      </c>
    </row>
    <row r="52" spans="2:4" ht="18" x14ac:dyDescent="0.25">
      <c r="B52" s="9" t="s">
        <v>42</v>
      </c>
      <c r="C52" s="21"/>
      <c r="D52" s="10">
        <v>1321</v>
      </c>
    </row>
    <row r="53" spans="2:4" ht="18" x14ac:dyDescent="0.25">
      <c r="B53" s="9" t="s">
        <v>43</v>
      </c>
      <c r="C53" s="21"/>
      <c r="D53" s="10">
        <v>1773</v>
      </c>
    </row>
    <row r="54" spans="2:4" ht="18" x14ac:dyDescent="0.25">
      <c r="B54" s="9" t="s">
        <v>44</v>
      </c>
      <c r="C54" s="21"/>
      <c r="D54" s="10">
        <v>2282</v>
      </c>
    </row>
    <row r="55" spans="2:4" ht="18" x14ac:dyDescent="0.25">
      <c r="B55" s="9" t="s">
        <v>45</v>
      </c>
      <c r="C55" s="21"/>
      <c r="D55" s="10">
        <v>270096</v>
      </c>
    </row>
    <row r="56" spans="2:4" ht="18" x14ac:dyDescent="0.25">
      <c r="B56" s="13" t="s">
        <v>46</v>
      </c>
      <c r="C56" s="23"/>
      <c r="D56" s="14">
        <v>385165</v>
      </c>
    </row>
    <row r="57" spans="2:4" ht="18" x14ac:dyDescent="0.25">
      <c r="B57" s="16" t="s">
        <v>47</v>
      </c>
      <c r="C57" s="24"/>
      <c r="D57" s="17">
        <v>41475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10809</v>
      </c>
    </row>
    <row r="60" spans="2:4" ht="18" x14ac:dyDescent="0.25">
      <c r="B60" s="9" t="s">
        <v>50</v>
      </c>
      <c r="C60" s="21"/>
      <c r="D60" s="10">
        <v>0</v>
      </c>
    </row>
    <row r="61" spans="2:4" ht="18" x14ac:dyDescent="0.25">
      <c r="B61" s="16" t="s">
        <v>51</v>
      </c>
      <c r="C61" s="24"/>
      <c r="D61" s="17">
        <v>30666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30666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30666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30666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-47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35</v>
      </c>
    </row>
    <row r="85" spans="2:4" ht="18" x14ac:dyDescent="0.25">
      <c r="B85" s="13" t="s">
        <v>69</v>
      </c>
      <c r="C85" s="23"/>
      <c r="D85" s="14">
        <v>-12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-12</v>
      </c>
    </row>
    <row r="92" spans="2:4" ht="18" x14ac:dyDescent="0.25">
      <c r="B92" s="16" t="s">
        <v>75</v>
      </c>
      <c r="C92" s="24"/>
      <c r="D92" s="17">
        <v>30654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30654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10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-1766</v>
      </c>
    </row>
    <row r="108" spans="2:4" ht="18" x14ac:dyDescent="0.25">
      <c r="B108" s="13" t="s">
        <v>86</v>
      </c>
      <c r="C108" s="23"/>
      <c r="D108" s="14">
        <v>-1756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-278</v>
      </c>
    </row>
    <row r="111" spans="2:4" ht="18" x14ac:dyDescent="0.25">
      <c r="B111" s="13" t="s">
        <v>73</v>
      </c>
      <c r="C111" s="23"/>
      <c r="D111" s="14">
        <v>-278</v>
      </c>
    </row>
    <row r="112" spans="2:4" ht="18" x14ac:dyDescent="0.25">
      <c r="B112" s="16" t="s">
        <v>87</v>
      </c>
      <c r="C112" s="24"/>
      <c r="D112" s="17">
        <v>-2034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2CE13-F2A5-43AD-A7A5-06DFC91E110C}">
  <sheetPr codeName="Sheet41">
    <tabColor theme="1"/>
  </sheetPr>
  <dimension ref="B2:E112"/>
  <sheetViews>
    <sheetView showGridLines="0" view="pageBreakPreview" topLeftCell="B8" zoomScale="70" zoomScaleNormal="85" workbookViewId="0">
      <selection activeCell="D42" sqref="D42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111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105</v>
      </c>
    </row>
    <row r="9" spans="2:4" ht="18" x14ac:dyDescent="0.25">
      <c r="B9" s="9" t="s">
        <v>2</v>
      </c>
      <c r="C9" s="21"/>
      <c r="D9" s="10">
        <v>110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47185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47400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367</v>
      </c>
    </row>
    <row r="23" spans="2:5" ht="18" x14ac:dyDescent="0.25">
      <c r="B23" s="9" t="s">
        <v>16</v>
      </c>
      <c r="C23" s="21"/>
      <c r="D23" s="10">
        <v>0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14402</v>
      </c>
    </row>
    <row r="26" spans="2:5" ht="18" x14ac:dyDescent="0.25">
      <c r="B26" s="13" t="s">
        <v>18</v>
      </c>
      <c r="C26" s="23"/>
      <c r="D26" s="14">
        <v>14769</v>
      </c>
    </row>
    <row r="27" spans="2:5" ht="18" x14ac:dyDescent="0.25">
      <c r="B27" s="16" t="s">
        <v>19</v>
      </c>
      <c r="C27" s="24"/>
      <c r="D27" s="17">
        <v>32631</v>
      </c>
    </row>
    <row r="28" spans="2:5" ht="18" x14ac:dyDescent="0.25">
      <c r="B28" s="9" t="s">
        <v>20</v>
      </c>
      <c r="C28" s="21"/>
      <c r="D28" s="10">
        <v>-4776</v>
      </c>
    </row>
    <row r="29" spans="2:5" ht="18" x14ac:dyDescent="0.25">
      <c r="B29" s="16" t="s">
        <v>21</v>
      </c>
      <c r="C29" s="24"/>
      <c r="D29" s="17">
        <v>37407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167657</v>
      </c>
    </row>
    <row r="35" spans="2:4" ht="18" x14ac:dyDescent="0.25">
      <c r="B35" s="9" t="s">
        <v>27</v>
      </c>
      <c r="C35" s="21"/>
      <c r="D35" s="10">
        <v>0</v>
      </c>
    </row>
    <row r="36" spans="2:4" ht="18" x14ac:dyDescent="0.25">
      <c r="B36" s="9" t="s">
        <v>28</v>
      </c>
      <c r="C36" s="21"/>
      <c r="D36" s="10">
        <v>0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0</v>
      </c>
    </row>
    <row r="40" spans="2:4" ht="18" x14ac:dyDescent="0.25">
      <c r="B40" s="9" t="s">
        <v>32</v>
      </c>
      <c r="C40" s="21"/>
      <c r="D40" s="10">
        <v>596</v>
      </c>
    </row>
    <row r="41" spans="2:4" ht="18" x14ac:dyDescent="0.25">
      <c r="B41" s="9" t="s">
        <v>12</v>
      </c>
      <c r="C41" s="21"/>
      <c r="D41" s="10">
        <v>4735</v>
      </c>
    </row>
    <row r="42" spans="2:4" ht="18" x14ac:dyDescent="0.25">
      <c r="B42" s="13" t="s">
        <v>33</v>
      </c>
      <c r="C42" s="23"/>
      <c r="D42" s="14">
        <v>172988</v>
      </c>
    </row>
    <row r="43" spans="2:4" ht="18" x14ac:dyDescent="0.25">
      <c r="B43" s="16" t="s">
        <v>34</v>
      </c>
      <c r="C43" s="24"/>
      <c r="D43" s="17">
        <v>210395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26451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224</v>
      </c>
    </row>
    <row r="49" spans="2:4" ht="18" x14ac:dyDescent="0.25">
      <c r="B49" s="9" t="s">
        <v>39</v>
      </c>
      <c r="C49" s="21"/>
      <c r="D49" s="10">
        <v>309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27666</v>
      </c>
    </row>
    <row r="52" spans="2:4" ht="18" x14ac:dyDescent="0.25">
      <c r="B52" s="9" t="s">
        <v>42</v>
      </c>
      <c r="C52" s="21"/>
      <c r="D52" s="10">
        <v>814</v>
      </c>
    </row>
    <row r="53" spans="2:4" ht="18" x14ac:dyDescent="0.25">
      <c r="B53" s="9" t="s">
        <v>43</v>
      </c>
      <c r="C53" s="21"/>
      <c r="D53" s="10">
        <v>2658</v>
      </c>
    </row>
    <row r="54" spans="2:4" ht="18" x14ac:dyDescent="0.25">
      <c r="B54" s="9" t="s">
        <v>44</v>
      </c>
      <c r="C54" s="21"/>
      <c r="D54" s="10">
        <v>1235</v>
      </c>
    </row>
    <row r="55" spans="2:4" ht="18" x14ac:dyDescent="0.25">
      <c r="B55" s="9" t="s">
        <v>45</v>
      </c>
      <c r="C55" s="21"/>
      <c r="D55" s="10">
        <v>133008</v>
      </c>
    </row>
    <row r="56" spans="2:4" ht="18" x14ac:dyDescent="0.25">
      <c r="B56" s="13" t="s">
        <v>46</v>
      </c>
      <c r="C56" s="23"/>
      <c r="D56" s="14">
        <v>192365</v>
      </c>
    </row>
    <row r="57" spans="2:4" ht="18" x14ac:dyDescent="0.25">
      <c r="B57" s="16" t="s">
        <v>47</v>
      </c>
      <c r="C57" s="24"/>
      <c r="D57" s="17">
        <v>18030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4823</v>
      </c>
    </row>
    <row r="60" spans="2:4" ht="18" x14ac:dyDescent="0.25">
      <c r="B60" s="9" t="s">
        <v>50</v>
      </c>
      <c r="C60" s="21"/>
      <c r="D60" s="10">
        <v>0</v>
      </c>
    </row>
    <row r="61" spans="2:4" ht="18" x14ac:dyDescent="0.25">
      <c r="B61" s="16" t="s">
        <v>51</v>
      </c>
      <c r="C61" s="24"/>
      <c r="D61" s="17">
        <v>13207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13207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13207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13207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-13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-177</v>
      </c>
    </row>
    <row r="85" spans="2:4" ht="18" x14ac:dyDescent="0.25">
      <c r="B85" s="13" t="s">
        <v>69</v>
      </c>
      <c r="C85" s="23"/>
      <c r="D85" s="14">
        <v>-190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-190</v>
      </c>
    </row>
    <row r="92" spans="2:4" ht="18" x14ac:dyDescent="0.25">
      <c r="B92" s="16" t="s">
        <v>75</v>
      </c>
      <c r="C92" s="24"/>
      <c r="D92" s="17">
        <v>13017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13017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44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-1977</v>
      </c>
    </row>
    <row r="108" spans="2:4" ht="18" x14ac:dyDescent="0.25">
      <c r="B108" s="13" t="s">
        <v>86</v>
      </c>
      <c r="C108" s="23"/>
      <c r="D108" s="14">
        <v>-1933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-279</v>
      </c>
    </row>
    <row r="111" spans="2:4" ht="18" x14ac:dyDescent="0.25">
      <c r="B111" s="13" t="s">
        <v>73</v>
      </c>
      <c r="C111" s="23"/>
      <c r="D111" s="14">
        <v>-279</v>
      </c>
    </row>
    <row r="112" spans="2:4" ht="18" x14ac:dyDescent="0.25">
      <c r="B112" s="16" t="s">
        <v>87</v>
      </c>
      <c r="C112" s="24"/>
      <c r="D112" s="17">
        <v>-2212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1650A-1BB3-420F-8C5D-E64B546DB200}">
  <sheetPr codeName="Sheet43">
    <tabColor theme="1"/>
  </sheetPr>
  <dimension ref="B2:E112"/>
  <sheetViews>
    <sheetView showGridLines="0" view="pageBreakPreview" topLeftCell="B21" zoomScale="70" zoomScaleNormal="85" workbookViewId="0">
      <selection activeCell="D42" sqref="D42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112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900</v>
      </c>
    </row>
    <row r="9" spans="2:4" ht="18" x14ac:dyDescent="0.25">
      <c r="B9" s="9" t="s">
        <v>2</v>
      </c>
      <c r="C9" s="21"/>
      <c r="D9" s="10">
        <v>3650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220188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224738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1644</v>
      </c>
    </row>
    <row r="23" spans="2:5" ht="18" x14ac:dyDescent="0.25">
      <c r="B23" s="9" t="s">
        <v>16</v>
      </c>
      <c r="C23" s="21"/>
      <c r="D23" s="10">
        <v>0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83490</v>
      </c>
    </row>
    <row r="26" spans="2:5" ht="18" x14ac:dyDescent="0.25">
      <c r="B26" s="13" t="s">
        <v>18</v>
      </c>
      <c r="C26" s="23"/>
      <c r="D26" s="14">
        <v>85135</v>
      </c>
    </row>
    <row r="27" spans="2:5" ht="18" x14ac:dyDescent="0.25">
      <c r="B27" s="16" t="s">
        <v>19</v>
      </c>
      <c r="C27" s="24"/>
      <c r="D27" s="17">
        <v>139603</v>
      </c>
    </row>
    <row r="28" spans="2:5" ht="18" x14ac:dyDescent="0.25">
      <c r="B28" s="9" t="s">
        <v>20</v>
      </c>
      <c r="C28" s="21"/>
      <c r="D28" s="10">
        <v>27181</v>
      </c>
    </row>
    <row r="29" spans="2:5" ht="18" x14ac:dyDescent="0.25">
      <c r="B29" s="16" t="s">
        <v>21</v>
      </c>
      <c r="C29" s="24"/>
      <c r="D29" s="17">
        <v>112422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713390</v>
      </c>
    </row>
    <row r="35" spans="2:4" ht="18" x14ac:dyDescent="0.25">
      <c r="B35" s="9" t="s">
        <v>27</v>
      </c>
      <c r="C35" s="21"/>
      <c r="D35" s="10">
        <v>0</v>
      </c>
    </row>
    <row r="36" spans="2:4" ht="18" x14ac:dyDescent="0.25">
      <c r="B36" s="9" t="s">
        <v>28</v>
      </c>
      <c r="C36" s="21"/>
      <c r="D36" s="10">
        <v>0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0</v>
      </c>
    </row>
    <row r="40" spans="2:4" ht="18" x14ac:dyDescent="0.25">
      <c r="B40" s="9" t="s">
        <v>32</v>
      </c>
      <c r="C40" s="21"/>
      <c r="D40" s="10">
        <v>3575</v>
      </c>
    </row>
    <row r="41" spans="2:4" ht="18" x14ac:dyDescent="0.25">
      <c r="B41" s="9" t="s">
        <v>12</v>
      </c>
      <c r="C41" s="21"/>
      <c r="D41" s="10">
        <v>29963</v>
      </c>
    </row>
    <row r="42" spans="2:4" ht="18" x14ac:dyDescent="0.25">
      <c r="B42" s="13" t="s">
        <v>33</v>
      </c>
      <c r="C42" s="23"/>
      <c r="D42" s="14">
        <v>746930</v>
      </c>
    </row>
    <row r="43" spans="2:4" ht="18" x14ac:dyDescent="0.25">
      <c r="B43" s="16" t="s">
        <v>34</v>
      </c>
      <c r="C43" s="24"/>
      <c r="D43" s="17">
        <v>859352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100567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932</v>
      </c>
    </row>
    <row r="49" spans="2:4" ht="18" x14ac:dyDescent="0.25">
      <c r="B49" s="9" t="s">
        <v>39</v>
      </c>
      <c r="C49" s="21"/>
      <c r="D49" s="10">
        <v>1475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129867</v>
      </c>
    </row>
    <row r="52" spans="2:4" ht="18" x14ac:dyDescent="0.25">
      <c r="B52" s="9" t="s">
        <v>42</v>
      </c>
      <c r="C52" s="21"/>
      <c r="D52" s="10">
        <v>1607</v>
      </c>
    </row>
    <row r="53" spans="2:4" ht="18" x14ac:dyDescent="0.25">
      <c r="B53" s="9" t="s">
        <v>43</v>
      </c>
      <c r="C53" s="21"/>
      <c r="D53" s="10">
        <v>9386</v>
      </c>
    </row>
    <row r="54" spans="2:4" ht="18" x14ac:dyDescent="0.25">
      <c r="B54" s="9" t="s">
        <v>44</v>
      </c>
      <c r="C54" s="21"/>
      <c r="D54" s="10">
        <v>4916</v>
      </c>
    </row>
    <row r="55" spans="2:4" ht="18" x14ac:dyDescent="0.25">
      <c r="B55" s="9" t="s">
        <v>45</v>
      </c>
      <c r="C55" s="21"/>
      <c r="D55" s="10">
        <v>580632</v>
      </c>
    </row>
    <row r="56" spans="2:4" ht="18" x14ac:dyDescent="0.25">
      <c r="B56" s="13" t="s">
        <v>46</v>
      </c>
      <c r="C56" s="23"/>
      <c r="D56" s="14">
        <v>829382</v>
      </c>
    </row>
    <row r="57" spans="2:4" ht="18" x14ac:dyDescent="0.25">
      <c r="B57" s="16" t="s">
        <v>47</v>
      </c>
      <c r="C57" s="24"/>
      <c r="D57" s="17">
        <v>29970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8441</v>
      </c>
    </row>
    <row r="60" spans="2:4" ht="18" x14ac:dyDescent="0.25">
      <c r="B60" s="9" t="s">
        <v>50</v>
      </c>
      <c r="C60" s="21"/>
      <c r="D60" s="10">
        <v>0</v>
      </c>
    </row>
    <row r="61" spans="2:4" ht="18" x14ac:dyDescent="0.25">
      <c r="B61" s="16" t="s">
        <v>51</v>
      </c>
      <c r="C61" s="24"/>
      <c r="D61" s="17">
        <v>21529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21529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21529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21529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59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404</v>
      </c>
    </row>
    <row r="85" spans="2:4" ht="18" x14ac:dyDescent="0.25">
      <c r="B85" s="13" t="s">
        <v>69</v>
      </c>
      <c r="C85" s="23"/>
      <c r="D85" s="14">
        <v>463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14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14</v>
      </c>
    </row>
    <row r="91" spans="2:4" ht="18" x14ac:dyDescent="0.25">
      <c r="B91" s="16" t="s">
        <v>74</v>
      </c>
      <c r="C91" s="24"/>
      <c r="D91" s="17">
        <v>477</v>
      </c>
    </row>
    <row r="92" spans="2:4" ht="18" x14ac:dyDescent="0.25">
      <c r="B92" s="16" t="s">
        <v>75</v>
      </c>
      <c r="C92" s="24"/>
      <c r="D92" s="17">
        <v>22006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22005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57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-1800</v>
      </c>
    </row>
    <row r="108" spans="2:4" ht="18" x14ac:dyDescent="0.25">
      <c r="B108" s="13" t="s">
        <v>86</v>
      </c>
      <c r="C108" s="23"/>
      <c r="D108" s="14">
        <v>-1743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-278</v>
      </c>
    </row>
    <row r="111" spans="2:4" ht="18" x14ac:dyDescent="0.25">
      <c r="B111" s="13" t="s">
        <v>73</v>
      </c>
      <c r="C111" s="23"/>
      <c r="D111" s="14">
        <v>-278</v>
      </c>
    </row>
    <row r="112" spans="2:4" ht="18" x14ac:dyDescent="0.25">
      <c r="B112" s="16" t="s">
        <v>87</v>
      </c>
      <c r="C112" s="24"/>
      <c r="D112" s="17">
        <v>-2022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9F0F-C4F7-4079-B4F3-E3ECE270B517}">
  <sheetPr codeName="Sheet45">
    <tabColor theme="1"/>
  </sheetPr>
  <dimension ref="B2:E112"/>
  <sheetViews>
    <sheetView showGridLines="0" view="pageBreakPreview" topLeftCell="B31" zoomScale="70" zoomScaleNormal="85" workbookViewId="0">
      <selection activeCell="D40" sqref="D40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113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795</v>
      </c>
    </row>
    <row r="9" spans="2:4" ht="18" x14ac:dyDescent="0.25">
      <c r="B9" s="9" t="s">
        <v>2</v>
      </c>
      <c r="C9" s="21"/>
      <c r="D9" s="10">
        <v>3191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169867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173853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1217</v>
      </c>
    </row>
    <row r="23" spans="2:5" ht="18" x14ac:dyDescent="0.25">
      <c r="B23" s="9" t="s">
        <v>16</v>
      </c>
      <c r="C23" s="21"/>
      <c r="D23" s="10">
        <v>0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63134</v>
      </c>
    </row>
    <row r="26" spans="2:5" ht="18" x14ac:dyDescent="0.25">
      <c r="B26" s="13" t="s">
        <v>18</v>
      </c>
      <c r="C26" s="23"/>
      <c r="D26" s="14">
        <v>64350</v>
      </c>
    </row>
    <row r="27" spans="2:5" ht="18" x14ac:dyDescent="0.25">
      <c r="B27" s="16" t="s">
        <v>19</v>
      </c>
      <c r="C27" s="24"/>
      <c r="D27" s="17">
        <v>109502</v>
      </c>
    </row>
    <row r="28" spans="2:5" ht="18" x14ac:dyDescent="0.25">
      <c r="B28" s="9" t="s">
        <v>20</v>
      </c>
      <c r="C28" s="21"/>
      <c r="D28" s="10">
        <v>59119</v>
      </c>
    </row>
    <row r="29" spans="2:5" ht="18" x14ac:dyDescent="0.25">
      <c r="B29" s="16" t="s">
        <v>21</v>
      </c>
      <c r="C29" s="24"/>
      <c r="D29" s="17">
        <v>50383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535842</v>
      </c>
    </row>
    <row r="35" spans="2:4" ht="18" x14ac:dyDescent="0.25">
      <c r="B35" s="9" t="s">
        <v>27</v>
      </c>
      <c r="C35" s="21"/>
      <c r="D35" s="10">
        <v>0</v>
      </c>
    </row>
    <row r="36" spans="2:4" ht="18" x14ac:dyDescent="0.25">
      <c r="B36" s="9" t="s">
        <v>28</v>
      </c>
      <c r="C36" s="21"/>
      <c r="D36" s="10">
        <v>0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0</v>
      </c>
    </row>
    <row r="40" spans="2:4" ht="18" x14ac:dyDescent="0.25">
      <c r="B40" s="9" t="s">
        <v>32</v>
      </c>
      <c r="C40" s="21"/>
      <c r="D40" s="10">
        <v>2870</v>
      </c>
    </row>
    <row r="41" spans="2:4" ht="18" x14ac:dyDescent="0.25">
      <c r="B41" s="9" t="s">
        <v>12</v>
      </c>
      <c r="C41" s="21"/>
      <c r="D41" s="10">
        <v>24286</v>
      </c>
    </row>
    <row r="42" spans="2:4" ht="18" x14ac:dyDescent="0.25">
      <c r="B42" s="13" t="s">
        <v>33</v>
      </c>
      <c r="C42" s="23"/>
      <c r="D42" s="14">
        <v>560128</v>
      </c>
    </row>
    <row r="43" spans="2:4" ht="18" x14ac:dyDescent="0.25">
      <c r="B43" s="16" t="s">
        <v>34</v>
      </c>
      <c r="C43" s="24"/>
      <c r="D43" s="17">
        <v>613381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75317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691</v>
      </c>
    </row>
    <row r="49" spans="2:4" ht="18" x14ac:dyDescent="0.25">
      <c r="B49" s="9" t="s">
        <v>39</v>
      </c>
      <c r="C49" s="21"/>
      <c r="D49" s="10">
        <v>1178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107964</v>
      </c>
    </row>
    <row r="52" spans="2:4" ht="18" x14ac:dyDescent="0.25">
      <c r="B52" s="9" t="s">
        <v>42</v>
      </c>
      <c r="C52" s="21"/>
      <c r="D52" s="10">
        <v>1078</v>
      </c>
    </row>
    <row r="53" spans="2:4" ht="18" x14ac:dyDescent="0.25">
      <c r="B53" s="9" t="s">
        <v>43</v>
      </c>
      <c r="C53" s="21"/>
      <c r="D53" s="10">
        <v>6435</v>
      </c>
    </row>
    <row r="54" spans="2:4" ht="18" x14ac:dyDescent="0.25">
      <c r="B54" s="9" t="s">
        <v>44</v>
      </c>
      <c r="C54" s="21"/>
      <c r="D54" s="10">
        <v>2303</v>
      </c>
    </row>
    <row r="55" spans="2:4" ht="18" x14ac:dyDescent="0.25">
      <c r="B55" s="9" t="s">
        <v>45</v>
      </c>
      <c r="C55" s="21"/>
      <c r="D55" s="10">
        <v>427398</v>
      </c>
    </row>
    <row r="56" spans="2:4" ht="18" x14ac:dyDescent="0.25">
      <c r="B56" s="13" t="s">
        <v>46</v>
      </c>
      <c r="C56" s="23"/>
      <c r="D56" s="14">
        <v>622364</v>
      </c>
    </row>
    <row r="57" spans="2:4" ht="18" x14ac:dyDescent="0.25">
      <c r="B57" s="16" t="s">
        <v>47</v>
      </c>
      <c r="C57" s="24"/>
      <c r="D57" s="17">
        <v>-8983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-1563</v>
      </c>
    </row>
    <row r="60" spans="2:4" ht="18" x14ac:dyDescent="0.25">
      <c r="B60" s="9" t="s">
        <v>50</v>
      </c>
      <c r="C60" s="21"/>
      <c r="D60" s="10">
        <v>0</v>
      </c>
    </row>
    <row r="61" spans="2:4" ht="18" x14ac:dyDescent="0.25">
      <c r="B61" s="16" t="s">
        <v>51</v>
      </c>
      <c r="C61" s="24"/>
      <c r="D61" s="17">
        <v>-7421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-7421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-7421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-7421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255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425</v>
      </c>
    </row>
    <row r="85" spans="2:4" ht="18" x14ac:dyDescent="0.25">
      <c r="B85" s="13" t="s">
        <v>69</v>
      </c>
      <c r="C85" s="23"/>
      <c r="D85" s="14">
        <v>680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680</v>
      </c>
    </row>
    <row r="92" spans="2:4" ht="18" x14ac:dyDescent="0.25">
      <c r="B92" s="16" t="s">
        <v>75</v>
      </c>
      <c r="C92" s="24"/>
      <c r="D92" s="17">
        <v>-6741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-6741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252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-1779</v>
      </c>
    </row>
    <row r="108" spans="2:4" ht="18" x14ac:dyDescent="0.25">
      <c r="B108" s="13" t="s">
        <v>86</v>
      </c>
      <c r="C108" s="23"/>
      <c r="D108" s="14">
        <v>-1526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-292</v>
      </c>
    </row>
    <row r="111" spans="2:4" ht="18" x14ac:dyDescent="0.25">
      <c r="B111" s="13" t="s">
        <v>73</v>
      </c>
      <c r="C111" s="23"/>
      <c r="D111" s="14">
        <v>-292</v>
      </c>
    </row>
    <row r="112" spans="2:4" ht="18" x14ac:dyDescent="0.25">
      <c r="B112" s="16" t="s">
        <v>87</v>
      </c>
      <c r="C112" s="24"/>
      <c r="D112" s="17">
        <v>-1819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57F7B-42CB-4A05-BF00-D985BC2AC039}">
  <sheetPr codeName="Sheet47">
    <tabColor theme="1"/>
  </sheetPr>
  <dimension ref="B2:E112"/>
  <sheetViews>
    <sheetView showGridLines="0" view="pageBreakPreview" topLeftCell="B24" zoomScale="70" zoomScaleNormal="85" workbookViewId="0">
      <selection activeCell="D42" sqref="D42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114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683</v>
      </c>
    </row>
    <row r="9" spans="2:4" ht="18" x14ac:dyDescent="0.25">
      <c r="B9" s="9" t="s">
        <v>2</v>
      </c>
      <c r="C9" s="21"/>
      <c r="D9" s="10">
        <v>2435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117809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120927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801</v>
      </c>
    </row>
    <row r="23" spans="2:5" ht="18" x14ac:dyDescent="0.25">
      <c r="B23" s="9" t="s">
        <v>16</v>
      </c>
      <c r="C23" s="21"/>
      <c r="D23" s="10">
        <v>0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43436</v>
      </c>
    </row>
    <row r="26" spans="2:5" ht="18" x14ac:dyDescent="0.25">
      <c r="B26" s="13" t="s">
        <v>18</v>
      </c>
      <c r="C26" s="23"/>
      <c r="D26" s="14">
        <v>44237</v>
      </c>
    </row>
    <row r="27" spans="2:5" ht="18" x14ac:dyDescent="0.25">
      <c r="B27" s="16" t="s">
        <v>19</v>
      </c>
      <c r="C27" s="24"/>
      <c r="D27" s="17">
        <v>76690</v>
      </c>
    </row>
    <row r="28" spans="2:5" ht="18" x14ac:dyDescent="0.25">
      <c r="B28" s="9" t="s">
        <v>20</v>
      </c>
      <c r="C28" s="21"/>
      <c r="D28" s="10">
        <v>92039</v>
      </c>
    </row>
    <row r="29" spans="2:5" ht="18" x14ac:dyDescent="0.25">
      <c r="B29" s="16" t="s">
        <v>21</v>
      </c>
      <c r="C29" s="24"/>
      <c r="D29" s="17">
        <v>-15349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358409</v>
      </c>
    </row>
    <row r="35" spans="2:4" ht="18" x14ac:dyDescent="0.25">
      <c r="B35" s="9" t="s">
        <v>27</v>
      </c>
      <c r="C35" s="21"/>
      <c r="D35" s="10">
        <v>0</v>
      </c>
    </row>
    <row r="36" spans="2:4" ht="18" x14ac:dyDescent="0.25">
      <c r="B36" s="9" t="s">
        <v>28</v>
      </c>
      <c r="C36" s="21"/>
      <c r="D36" s="10">
        <v>0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0</v>
      </c>
    </row>
    <row r="40" spans="2:4" ht="18" x14ac:dyDescent="0.25">
      <c r="B40" s="9" t="s">
        <v>32</v>
      </c>
      <c r="C40" s="21"/>
      <c r="D40" s="10">
        <v>2128</v>
      </c>
    </row>
    <row r="41" spans="2:4" ht="18" x14ac:dyDescent="0.25">
      <c r="B41" s="9" t="s">
        <v>12</v>
      </c>
      <c r="C41" s="21"/>
      <c r="D41" s="10">
        <v>18669</v>
      </c>
    </row>
    <row r="42" spans="2:4" ht="18" x14ac:dyDescent="0.25">
      <c r="B42" s="13" t="s">
        <v>33</v>
      </c>
      <c r="C42" s="23"/>
      <c r="D42" s="14">
        <v>379206</v>
      </c>
    </row>
    <row r="43" spans="2:4" ht="18" x14ac:dyDescent="0.25">
      <c r="B43" s="16" t="s">
        <v>34</v>
      </c>
      <c r="C43" s="24"/>
      <c r="D43" s="17">
        <v>363857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49934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467</v>
      </c>
    </row>
    <row r="49" spans="2:4" ht="18" x14ac:dyDescent="0.25">
      <c r="B49" s="9" t="s">
        <v>39</v>
      </c>
      <c r="C49" s="21"/>
      <c r="D49" s="10">
        <v>490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78884</v>
      </c>
    </row>
    <row r="52" spans="2:4" ht="18" x14ac:dyDescent="0.25">
      <c r="B52" s="9" t="s">
        <v>42</v>
      </c>
      <c r="C52" s="21"/>
      <c r="D52" s="10">
        <v>827</v>
      </c>
    </row>
    <row r="53" spans="2:4" ht="18" x14ac:dyDescent="0.25">
      <c r="B53" s="9" t="s">
        <v>43</v>
      </c>
      <c r="C53" s="21"/>
      <c r="D53" s="10">
        <v>4742</v>
      </c>
    </row>
    <row r="54" spans="2:4" ht="18" x14ac:dyDescent="0.25">
      <c r="B54" s="9" t="s">
        <v>44</v>
      </c>
      <c r="C54" s="21"/>
      <c r="D54" s="10">
        <v>1594</v>
      </c>
    </row>
    <row r="55" spans="2:4" ht="18" x14ac:dyDescent="0.25">
      <c r="B55" s="9" t="s">
        <v>45</v>
      </c>
      <c r="C55" s="21"/>
      <c r="D55" s="10">
        <v>283290</v>
      </c>
    </row>
    <row r="56" spans="2:4" ht="18" x14ac:dyDescent="0.25">
      <c r="B56" s="13" t="s">
        <v>46</v>
      </c>
      <c r="C56" s="23"/>
      <c r="D56" s="14">
        <v>420226</v>
      </c>
    </row>
    <row r="57" spans="2:4" ht="18" x14ac:dyDescent="0.25">
      <c r="B57" s="16" t="s">
        <v>47</v>
      </c>
      <c r="C57" s="24"/>
      <c r="D57" s="17">
        <v>-56369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-14392</v>
      </c>
    </row>
    <row r="60" spans="2:4" ht="18" x14ac:dyDescent="0.25">
      <c r="B60" s="9" t="s">
        <v>50</v>
      </c>
      <c r="C60" s="21"/>
      <c r="D60" s="10">
        <v>0</v>
      </c>
    </row>
    <row r="61" spans="2:4" ht="18" x14ac:dyDescent="0.25">
      <c r="B61" s="16" t="s">
        <v>51</v>
      </c>
      <c r="C61" s="24"/>
      <c r="D61" s="17">
        <v>-41977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-41977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-41977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-41977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676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4966</v>
      </c>
    </row>
    <row r="85" spans="2:4" ht="18" x14ac:dyDescent="0.25">
      <c r="B85" s="13" t="s">
        <v>69</v>
      </c>
      <c r="C85" s="23"/>
      <c r="D85" s="14">
        <v>5642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5642</v>
      </c>
    </row>
    <row r="92" spans="2:4" ht="18" x14ac:dyDescent="0.25">
      <c r="B92" s="16" t="s">
        <v>75</v>
      </c>
      <c r="C92" s="24"/>
      <c r="D92" s="17">
        <v>-36335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-36334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674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2762</v>
      </c>
    </row>
    <row r="108" spans="2:4" ht="18" x14ac:dyDescent="0.25">
      <c r="B108" s="13" t="s">
        <v>86</v>
      </c>
      <c r="C108" s="23"/>
      <c r="D108" s="14">
        <v>3436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-292</v>
      </c>
    </row>
    <row r="111" spans="2:4" ht="18" x14ac:dyDescent="0.25">
      <c r="B111" s="13" t="s">
        <v>73</v>
      </c>
      <c r="C111" s="23"/>
      <c r="D111" s="14">
        <v>-292</v>
      </c>
    </row>
    <row r="112" spans="2:4" ht="18" x14ac:dyDescent="0.25">
      <c r="B112" s="16" t="s">
        <v>87</v>
      </c>
      <c r="C112" s="24"/>
      <c r="D112" s="17">
        <v>3144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7C58D-3D6F-4E54-AE2C-F7604082CAB0}">
  <sheetPr codeName="Sheet49">
    <tabColor theme="1"/>
  </sheetPr>
  <dimension ref="B2:E112"/>
  <sheetViews>
    <sheetView showGridLines="0" view="pageBreakPreview" topLeftCell="B16" zoomScale="70" zoomScaleNormal="85" workbookViewId="0">
      <selection activeCell="D40" sqref="D40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115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525</v>
      </c>
    </row>
    <row r="9" spans="2:4" ht="18" x14ac:dyDescent="0.25">
      <c r="B9" s="9" t="s">
        <v>2</v>
      </c>
      <c r="C9" s="21"/>
      <c r="D9" s="10">
        <v>1434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63466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65425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399</v>
      </c>
    </row>
    <row r="23" spans="2:5" ht="18" x14ac:dyDescent="0.25">
      <c r="B23" s="9" t="s">
        <v>16</v>
      </c>
      <c r="C23" s="21"/>
      <c r="D23" s="10">
        <v>0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27207</v>
      </c>
    </row>
    <row r="26" spans="2:5" ht="18" x14ac:dyDescent="0.25">
      <c r="B26" s="13" t="s">
        <v>18</v>
      </c>
      <c r="C26" s="23"/>
      <c r="D26" s="14">
        <v>27606</v>
      </c>
    </row>
    <row r="27" spans="2:5" ht="18" x14ac:dyDescent="0.25">
      <c r="B27" s="16" t="s">
        <v>19</v>
      </c>
      <c r="C27" s="24"/>
      <c r="D27" s="17">
        <v>37819</v>
      </c>
    </row>
    <row r="28" spans="2:5" ht="18" x14ac:dyDescent="0.25">
      <c r="B28" s="9" t="s">
        <v>20</v>
      </c>
      <c r="C28" s="21"/>
      <c r="D28" s="10">
        <v>49957</v>
      </c>
    </row>
    <row r="29" spans="2:5" ht="18" x14ac:dyDescent="0.25">
      <c r="B29" s="16" t="s">
        <v>21</v>
      </c>
      <c r="C29" s="24"/>
      <c r="D29" s="17">
        <v>-12137</v>
      </c>
    </row>
    <row r="30" spans="2:5" ht="18" x14ac:dyDescent="0.25">
      <c r="B30" s="9" t="s">
        <v>22</v>
      </c>
      <c r="C30" s="21"/>
      <c r="D30" s="10">
        <v>0</v>
      </c>
      <c r="E30" s="1">
        <f>IFERROR(_xlfn.LET(_xlpm.values, _xlfn._xlws.FILTER(#REF!,#REF!=$B30),INDEX(_xlpm.values, MATCH(MIN(ABS(_xlpm.values)), ABS(_xlpm.values), 0))),0)</f>
        <v>0</v>
      </c>
    </row>
    <row r="31" spans="2:5" ht="18" x14ac:dyDescent="0.25">
      <c r="B31" s="9" t="s">
        <v>23</v>
      </c>
      <c r="C31" s="21"/>
      <c r="D31" s="10">
        <v>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210678</v>
      </c>
    </row>
    <row r="35" spans="2:4" ht="18" x14ac:dyDescent="0.25">
      <c r="B35" s="9" t="s">
        <v>27</v>
      </c>
      <c r="C35" s="21"/>
      <c r="D35" s="10">
        <v>0</v>
      </c>
    </row>
    <row r="36" spans="2:4" ht="18" x14ac:dyDescent="0.25">
      <c r="B36" s="9" t="s">
        <v>28</v>
      </c>
      <c r="C36" s="21"/>
      <c r="D36" s="10">
        <v>0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0</v>
      </c>
    </row>
    <row r="40" spans="2:4" ht="18" x14ac:dyDescent="0.25">
      <c r="B40" s="9" t="s">
        <v>32</v>
      </c>
      <c r="C40" s="21"/>
      <c r="D40" s="10">
        <v>1330</v>
      </c>
    </row>
    <row r="41" spans="2:4" ht="18" x14ac:dyDescent="0.25">
      <c r="B41" s="9" t="s">
        <v>12</v>
      </c>
      <c r="C41" s="21"/>
      <c r="D41" s="10">
        <v>11728</v>
      </c>
    </row>
    <row r="42" spans="2:4" ht="18" x14ac:dyDescent="0.25">
      <c r="B42" s="13" t="s">
        <v>33</v>
      </c>
      <c r="C42" s="23"/>
      <c r="D42" s="14">
        <v>223736</v>
      </c>
    </row>
    <row r="43" spans="2:4" ht="18" x14ac:dyDescent="0.25">
      <c r="B43" s="16" t="s">
        <v>34</v>
      </c>
      <c r="C43" s="24"/>
      <c r="D43" s="17">
        <v>211599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26030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231</v>
      </c>
    </row>
    <row r="49" spans="2:4" ht="18" x14ac:dyDescent="0.25">
      <c r="B49" s="9" t="s">
        <v>39</v>
      </c>
      <c r="C49" s="21"/>
      <c r="D49" s="10">
        <v>320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41852</v>
      </c>
    </row>
    <row r="52" spans="2:4" ht="18" x14ac:dyDescent="0.25">
      <c r="B52" s="9" t="s">
        <v>42</v>
      </c>
      <c r="C52" s="21"/>
      <c r="D52" s="10">
        <v>433</v>
      </c>
    </row>
    <row r="53" spans="2:4" ht="18" x14ac:dyDescent="0.25">
      <c r="B53" s="9" t="s">
        <v>43</v>
      </c>
      <c r="C53" s="21"/>
      <c r="D53" s="10">
        <v>3304</v>
      </c>
    </row>
    <row r="54" spans="2:4" ht="18" x14ac:dyDescent="0.25">
      <c r="B54" s="9" t="s">
        <v>44</v>
      </c>
      <c r="C54" s="21"/>
      <c r="D54" s="10">
        <v>260</v>
      </c>
    </row>
    <row r="55" spans="2:4" ht="18" x14ac:dyDescent="0.25">
      <c r="B55" s="9" t="s">
        <v>45</v>
      </c>
      <c r="C55" s="21"/>
      <c r="D55" s="10">
        <v>167093</v>
      </c>
    </row>
    <row r="56" spans="2:4" ht="18" x14ac:dyDescent="0.25">
      <c r="B56" s="13" t="s">
        <v>46</v>
      </c>
      <c r="C56" s="23"/>
      <c r="D56" s="14">
        <v>239522</v>
      </c>
    </row>
    <row r="57" spans="2:4" ht="18" x14ac:dyDescent="0.25">
      <c r="B57" s="16" t="s">
        <v>47</v>
      </c>
      <c r="C57" s="24"/>
      <c r="D57" s="17">
        <v>-27923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-7129</v>
      </c>
    </row>
    <row r="60" spans="2:4" ht="18" x14ac:dyDescent="0.25">
      <c r="B60" s="9" t="s">
        <v>50</v>
      </c>
      <c r="C60" s="21"/>
      <c r="D60" s="10">
        <v>0</v>
      </c>
    </row>
    <row r="61" spans="2:4" ht="18" x14ac:dyDescent="0.25">
      <c r="B61" s="16" t="s">
        <v>51</v>
      </c>
      <c r="C61" s="24"/>
      <c r="D61" s="17">
        <v>-20794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-20794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-20794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-20794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1168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4301</v>
      </c>
    </row>
    <row r="85" spans="2:4" ht="18" x14ac:dyDescent="0.25">
      <c r="B85" s="13" t="s">
        <v>69</v>
      </c>
      <c r="C85" s="23"/>
      <c r="D85" s="14">
        <v>5469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5469</v>
      </c>
    </row>
    <row r="92" spans="2:4" ht="18" x14ac:dyDescent="0.25">
      <c r="B92" s="16" t="s">
        <v>75</v>
      </c>
      <c r="C92" s="24"/>
      <c r="D92" s="17">
        <v>-15325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-15324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1166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2098</v>
      </c>
    </row>
    <row r="108" spans="2:4" ht="18" x14ac:dyDescent="0.25">
      <c r="B108" s="13" t="s">
        <v>86</v>
      </c>
      <c r="C108" s="23"/>
      <c r="D108" s="14">
        <v>3264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-292</v>
      </c>
    </row>
    <row r="111" spans="2:4" ht="18" x14ac:dyDescent="0.25">
      <c r="B111" s="13" t="s">
        <v>73</v>
      </c>
      <c r="C111" s="23"/>
      <c r="D111" s="14">
        <v>-292</v>
      </c>
    </row>
    <row r="112" spans="2:4" ht="18" x14ac:dyDescent="0.25">
      <c r="B112" s="16" t="s">
        <v>87</v>
      </c>
      <c r="C112" s="24"/>
      <c r="D112" s="17">
        <v>2971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EB9F9D-8346-4201-8587-27EB847F64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23</vt:i4>
      </vt:variant>
    </vt:vector>
  </HeadingPairs>
  <TitlesOfParts>
    <vt:vector size="46" baseType="lpstr">
      <vt:lpstr>IS - Output - Q3 - 2025</vt:lpstr>
      <vt:lpstr>IS - Output - Q2 - 2025</vt:lpstr>
      <vt:lpstr>IS - Output - Q1 - 2025</vt:lpstr>
      <vt:lpstr>IS - Output - Q4 - 2024</vt:lpstr>
      <vt:lpstr>IS - Output - Q3 - 2024</vt:lpstr>
      <vt:lpstr>IS - Output - Q2 - 2024</vt:lpstr>
      <vt:lpstr>IS - Output - Q1 - 2024</vt:lpstr>
      <vt:lpstr>IS - Output - Q4 - 2023</vt:lpstr>
      <vt:lpstr>IS - Output - Q3 - 2023</vt:lpstr>
      <vt:lpstr>IS - Output - Q2 - 2023</vt:lpstr>
      <vt:lpstr>IS - Output - Q1 - 2023</vt:lpstr>
      <vt:lpstr>IS - Output - Q4 - 2022</vt:lpstr>
      <vt:lpstr>IS - Output - Q3 - 2022</vt:lpstr>
      <vt:lpstr>IS - Output - Q2 - 2022</vt:lpstr>
      <vt:lpstr>IS - Output - Q1 - 2022</vt:lpstr>
      <vt:lpstr>IS - Output - Q4 - 2021</vt:lpstr>
      <vt:lpstr>IS - Output - Q3 - 2021</vt:lpstr>
      <vt:lpstr>IS - Output - Q2 - 2021</vt:lpstr>
      <vt:lpstr>IS - Output - Q1 - 2021</vt:lpstr>
      <vt:lpstr>IS - Output - Q4 - 2020</vt:lpstr>
      <vt:lpstr>IS - Output - Q3 - 2020</vt:lpstr>
      <vt:lpstr>IS - Output - Q2 - 2020</vt:lpstr>
      <vt:lpstr>IS - Output - Q1 - 2020</vt:lpstr>
      <vt:lpstr>'IS - Output - Q1 - 2020'!Print_Area</vt:lpstr>
      <vt:lpstr>'IS - Output - Q1 - 2021'!Print_Area</vt:lpstr>
      <vt:lpstr>'IS - Output - Q1 - 2022'!Print_Area</vt:lpstr>
      <vt:lpstr>'IS - Output - Q1 - 2023'!Print_Area</vt:lpstr>
      <vt:lpstr>'IS - Output - Q1 - 2024'!Print_Area</vt:lpstr>
      <vt:lpstr>'IS - Output - Q1 - 2025'!Print_Area</vt:lpstr>
      <vt:lpstr>'IS - Output - Q2 - 2020'!Print_Area</vt:lpstr>
      <vt:lpstr>'IS - Output - Q2 - 2021'!Print_Area</vt:lpstr>
      <vt:lpstr>'IS - Output - Q2 - 2022'!Print_Area</vt:lpstr>
      <vt:lpstr>'IS - Output - Q2 - 2023'!Print_Area</vt:lpstr>
      <vt:lpstr>'IS - Output - Q2 - 2024'!Print_Area</vt:lpstr>
      <vt:lpstr>'IS - Output - Q2 - 2025'!Print_Area</vt:lpstr>
      <vt:lpstr>'IS - Output - Q3 - 2020'!Print_Area</vt:lpstr>
      <vt:lpstr>'IS - Output - Q3 - 2021'!Print_Area</vt:lpstr>
      <vt:lpstr>'IS - Output - Q3 - 2022'!Print_Area</vt:lpstr>
      <vt:lpstr>'IS - Output - Q3 - 2023'!Print_Area</vt:lpstr>
      <vt:lpstr>'IS - Output - Q3 - 2024'!Print_Area</vt:lpstr>
      <vt:lpstr>'IS - Output - Q3 - 2025'!Print_Area</vt:lpstr>
      <vt:lpstr>'IS - Output - Q4 - 2020'!Print_Area</vt:lpstr>
      <vt:lpstr>'IS - Output - Q4 - 2021'!Print_Area</vt:lpstr>
      <vt:lpstr>'IS - Output - Q4 - 2022'!Print_Area</vt:lpstr>
      <vt:lpstr>'IS - Output - Q4 - 2023'!Print_Area</vt:lpstr>
      <vt:lpstr>'IS - Output - Q4 - 2024'!Print_Area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2025-11-17T04:08:25Z</cp:lastPrinted>
  <dcterms:created xsi:type="dcterms:W3CDTF">2025-10-07T21:53:02Z</dcterms:created>
  <dcterms:modified xsi:type="dcterms:W3CDTF">2025-12-05T01:54:01Z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{D68C1A9F-6440-48F9-BEA7-8A3299B17456}</vt:lpwstr>
  </property>
</Properties>
</file>